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b1c7b964004993" /></Relationships>
</file>

<file path=xl/workbook.xml><?xml version="1.0" encoding="utf-8"?>
<x:workbook xmlns:x="http://schemas.openxmlformats.org/spreadsheetml/2006/main">
  <x:sheets>
    <x:sheet xmlns:r="http://schemas.openxmlformats.org/officeDocument/2006/relationships" name="总览" sheetId="1" r:id="R4b1775280b68426e"/>
    <x:sheet xmlns:r="http://schemas.openxmlformats.org/officeDocument/2006/relationships" name="事件主表" sheetId="2" r:id="R45e5fd9f0afd4164"/>
    <x:sheet xmlns:r="http://schemas.openxmlformats.org/officeDocument/2006/relationships" name="交易记录" sheetId="3" r:id="R8a38d5e685ae4055"/>
    <x:sheet xmlns:r="http://schemas.openxmlformats.org/officeDocument/2006/relationships" name="披露数值" sheetId="4" r:id="R2582f38050a84fc3"/>
    <x:sheet xmlns:r="http://schemas.openxmlformats.org/officeDocument/2006/relationships" name="数值校验" sheetId="5" r:id="Rbc7f4f50ac414a64"/>
    <x:sheet xmlns:r="http://schemas.openxmlformats.org/officeDocument/2006/relationships" name="PEVC主体" sheetId="6" r:id="R539d9eb38d254e95"/>
    <x:sheet xmlns:r="http://schemas.openxmlformats.org/officeDocument/2006/relationships" name="PEVC路径" sheetId="7" r:id="R5cd287a83eb44a85"/>
    <x:sheet xmlns:r="http://schemas.openxmlformats.org/officeDocument/2006/relationships" name="股权快照状态" sheetId="8" r:id="Rc81fb8bca6c64d8a"/>
    <x:sheet xmlns:r="http://schemas.openxmlformats.org/officeDocument/2006/relationships" name="待复核" sheetId="9" r:id="R466bb54e77824bac"/>
    <x:sheet xmlns:r="http://schemas.openxmlformats.org/officeDocument/2006/relationships" name="证据索引" sheetId="10" r:id="R390f167cfdd944f5"/>
    <x:sheet xmlns:r="http://schemas.openxmlformats.org/officeDocument/2006/relationships" name="字段说明" sheetId="11" r:id="R0d0a00c32d9c468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Red](#,##0);-"/>
    <x:numFmt numFmtId="201" formatCode="@"/>
    <x:numFmt numFmtId="202" formatCode="000000"/>
  </x:numFmts>
  <x:fonts count="6">
    <x:font>
      <x:sz val="11"/>
      <x:name val="Carlito"/>
    </x:font>
    <x:font>
      <x:b/>
      <x:sz val="16"/>
      <x:color rgb="FFFFFFFF"/>
      <x:name val="Carlito"/>
    </x:font>
    <x:font>
      <x:b/>
      <x:sz val="11"/>
      <x:name val="Carlito"/>
    </x:font>
    <x:font>
      <x:b/>
      <x:sz val="14"/>
      <x:name val="Carlito"/>
    </x:font>
    <x:font>
      <x:b/>
      <x:sz val="11"/>
      <x:color rgb="FFFFFFFF"/>
      <x:name val="Carlito"/>
    </x:font>
    <x:font>
      <x:b/>
      <x:sz val="11"/>
      <x:color rgb="FF000000"/>
      <x:name val="Carlito"/>
    </x:font>
  </x:fonts>
  <x:fills count="9">
    <x:fill>
      <x:patternFill patternType="none"/>
    </x:fill>
    <x:fill>
      <x:patternFill patternType="gray125"/>
    </x:fill>
    <x:fill>
      <x:patternFill patternType="solid">
        <x:fgColor rgb="FF17365D"/>
      </x:patternFill>
    </x:fill>
    <x:fill>
      <x:patternFill patternType="solid">
        <x:fgColor rgb="FFF3F6F9"/>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D3"/>
      </x:patternFill>
    </x:fill>
  </x:fills>
  <x:borders count="30">
    <x:border/>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border>
    <x:border>
      <x:right style="thin">
        <x:color rgb="FFD9E2F3"/>
      </x:right>
    </x:border>
    <x:border>
      <x:left style="thin">
        <x:color rgb="FFD9E2F3"/>
      </x:left>
    </x:border>
    <x:border>
      <x:right style="thin">
        <x:color rgb="FFD9E2F3"/>
      </x:right>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20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2" xfId="0" applyNumberFormat="1" applyFont="1" applyFill="1" applyBorder="1" applyAlignment="1">
      <x:alignment horizontal="center"/>
    </x:xf>
    <x:xf numFmtId="0" fontId="0" fillId="0" borderId="3" xfId="0" applyNumberFormat="1" applyFont="1" applyFill="1" applyBorder="1" applyAlignment="1">
      <x:alignment horizontal="center"/>
    </x:xf>
    <x:xf numFmtId="0" fontId="0" fillId="0" borderId="4" xfId="0" applyNumberFormat="1" applyFont="1" applyFill="1" applyBorder="1" applyAlignment="1">
      <x:alignment horizontal="center"/>
    </x:xf>
    <x:xf numFmtId="0" fontId="0" fillId="0" borderId="5" xfId="0" applyNumberFormat="1" applyFont="1" applyFill="1" applyBorder="1" applyAlignment="1">
      <x:alignment horizontal="center"/>
    </x:xf>
    <x:xf numFmtId="0" fontId="0" fillId="0" borderId="6" xfId="0" applyNumberFormat="1" applyFont="1" applyFill="1" applyBorder="1" applyAlignment="1">
      <x:alignment horizontal="center"/>
    </x:xf>
    <x:xf numFmtId="0" fontId="0" fillId="0" borderId="7" xfId="0" applyNumberFormat="1" applyFont="1" applyFill="1" applyBorder="1" applyAlignment="1">
      <x:alignment horizontal="center"/>
    </x:xf>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2"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4" xfId="0" applyNumberFormat="1" applyFont="1" applyFill="1" applyBorder="1" applyAlignment="1">
      <x:alignment horizontal="center" vertical="center"/>
    </x:xf>
    <x:xf numFmtId="0" fontId="0" fillId="0" borderId="5" xfId="0" applyNumberFormat="1" applyFont="1" applyFill="1" applyBorder="1" applyAlignment="1">
      <x:alignment horizontal="center" vertical="center"/>
    </x:xf>
    <x:xf numFmtId="0" fontId="0" fillId="0" borderId="6" xfId="0" applyNumberFormat="1" applyFont="1" applyFill="1" applyBorder="1" applyAlignment="1">
      <x:alignment horizontal="center" vertical="center"/>
    </x:xf>
    <x:xf numFmtId="0" fontId="0" fillId="0" borderId="7" xfId="0" applyNumberFormat="1" applyFont="1" applyFill="1" applyBorder="1" applyAlignment="1">
      <x:alignment horizontal="center" vertical="center"/>
    </x:xf>
    <x:xf numFmtId="0" fontId="0" fillId="0" borderId="8" xfId="0" applyNumberFormat="1" applyFont="1" applyFill="1" applyBorder="1" applyAlignment="1">
      <x:alignment horizontal="center" vertical="center"/>
    </x:xf>
    <x:xf numFmtId="0" fontId="0" fillId="0" borderId="9" xfId="0" applyNumberFormat="1" applyFont="1" applyFill="1" applyBorder="1" applyAlignment="1">
      <x:alignment horizontal="center" vertical="center"/>
    </x:xf>
    <x:xf numFmtId="0" fontId="0" fillId="0" borderId="10" xfId="0" applyNumberFormat="1" applyFont="1" applyFill="1" applyBorder="1" applyAlignment="1">
      <x:alignment horizontal="center" vertical="center"/>
    </x:xf>
    <x:xf numFmtId="0" fontId="0" fillId="0" borderId="11" xfId="0" applyNumberFormat="1" applyFont="1" applyFill="1" applyBorder="1" applyAlignment="1">
      <x:alignment horizontal="center" vertical="center"/>
    </x:xf>
    <x:xf numFmtId="0" fontId="0" fillId="0" borderId="12" xfId="0" applyNumberFormat="1" applyFont="1" applyFill="1" applyBorder="1" applyAlignment="1">
      <x:alignment horizontal="center" vertical="center"/>
    </x:xf>
    <x:xf numFmtId="0" fontId="0" fillId="0" borderId="13" xfId="0" applyNumberFormat="1" applyFont="1" applyFill="1" applyBorder="1" applyAlignment="1">
      <x:alignment horizontal="center" vertical="center"/>
    </x:xf>
    <x:xf numFmtId="0" fontId="0" fillId="4" borderId="2" xfId="0" applyNumberFormat="1" applyFont="1" applyFill="1" applyBorder="1" applyAlignment="1">
      <x:alignment horizontal="center" vertical="center"/>
    </x:xf>
    <x:xf numFmtId="0" fontId="0" fillId="4" borderId="3" xfId="0" applyNumberFormat="1" applyFont="1" applyFill="1" applyBorder="1" applyAlignment="1">
      <x:alignment horizontal="center" vertical="center"/>
    </x:xf>
    <x:xf numFmtId="0" fontId="0" fillId="4" borderId="5" xfId="0" applyNumberFormat="1" applyFont="1" applyFill="1" applyBorder="1" applyAlignment="1">
      <x:alignment horizontal="center" vertical="center"/>
    </x:xf>
    <x:xf numFmtId="0" fontId="0" fillId="4" borderId="6" xfId="0" applyNumberFormat="1" applyFont="1" applyFill="1" applyBorder="1" applyAlignment="1">
      <x:alignment horizontal="center" vertical="center"/>
    </x:xf>
    <x:xf numFmtId="0" fontId="0" fillId="4" borderId="8" xfId="0" applyNumberFormat="1" applyFont="1" applyFill="1" applyBorder="1" applyAlignment="1">
      <x:alignment horizontal="center" vertical="center"/>
    </x:xf>
    <x:xf numFmtId="0" fontId="0" fillId="4" borderId="9" xfId="0" applyNumberFormat="1" applyFont="1" applyFill="1" applyBorder="1" applyAlignment="1">
      <x:alignment horizontal="center" vertical="center"/>
    </x:xf>
    <x:xf numFmtId="0" fontId="0" fillId="4" borderId="11" xfId="0" applyNumberFormat="1" applyFont="1" applyFill="1" applyBorder="1" applyAlignment="1">
      <x:alignment horizontal="center" vertical="center"/>
    </x:xf>
    <x:xf numFmtId="0" fontId="0" fillId="4" borderId="12" xfId="0" applyNumberFormat="1" applyFont="1" applyFill="1" applyBorder="1" applyAlignment="1">
      <x:alignment horizontal="center" vertical="center"/>
    </x:xf>
    <x:xf numFmtId="0" fontId="0" fillId="5" borderId="3" xfId="0" applyNumberFormat="1" applyFont="1" applyFill="1" applyBorder="1" applyAlignment="1">
      <x:alignment horizontal="center" vertical="center"/>
    </x:xf>
    <x:xf numFmtId="0" fontId="0" fillId="5" borderId="6" xfId="0" applyNumberFormat="1" applyFont="1" applyFill="1" applyBorder="1" applyAlignment="1">
      <x:alignment horizontal="center" vertical="center"/>
    </x:xf>
    <x:xf numFmtId="0" fontId="0" fillId="5" borderId="9" xfId="0" applyNumberFormat="1" applyFont="1" applyFill="1" applyBorder="1" applyAlignment="1">
      <x:alignment horizontal="center" vertical="center"/>
    </x:xf>
    <x:xf numFmtId="0" fontId="0" fillId="5" borderId="12" xfId="0" applyNumberFormat="1" applyFont="1" applyFill="1" applyBorder="1" applyAlignment="1">
      <x:alignment horizontal="center" vertical="center"/>
    </x:xf>
    <x:xf numFmtId="0" fontId="0" fillId="6" borderId="4" xfId="0" applyNumberFormat="1" applyFont="1" applyFill="1" applyBorder="1" applyAlignment="1">
      <x:alignment horizontal="center" vertical="center"/>
    </x:xf>
    <x:xf numFmtId="0" fontId="0" fillId="6" borderId="7" xfId="0" applyNumberFormat="1" applyFont="1" applyFill="1" applyBorder="1" applyAlignment="1">
      <x:alignment horizontal="center" vertical="center"/>
    </x:xf>
    <x:xf numFmtId="0" fontId="0" fillId="6" borderId="10" xfId="0" applyNumberFormat="1" applyFont="1" applyFill="1" applyBorder="1" applyAlignment="1">
      <x:alignment horizontal="center" vertical="center"/>
    </x:xf>
    <x:xf numFmtId="0" fontId="0" fillId="6" borderId="13" xfId="0" applyNumberFormat="1" applyFont="1" applyFill="1" applyBorder="1" applyAlignment="1">
      <x:alignment horizontal="center" vertical="center"/>
    </x:xf>
    <x:xf numFmtId="0" fontId="3" fillId="5" borderId="3" xfId="0" applyNumberFormat="1" applyFont="1" applyFill="1" applyBorder="1" applyAlignment="1">
      <x:alignment horizontal="center" vertical="center"/>
    </x:xf>
    <x:xf numFmtId="0" fontId="3" fillId="5" borderId="6" xfId="0" applyNumberFormat="1" applyFont="1" applyFill="1" applyBorder="1" applyAlignment="1">
      <x:alignment horizontal="center" vertical="center"/>
    </x:xf>
    <x:xf numFmtId="0" fontId="3" fillId="5" borderId="9" xfId="0" applyNumberFormat="1" applyFont="1" applyFill="1" applyBorder="1" applyAlignment="1">
      <x:alignment horizontal="center" vertical="center"/>
    </x:xf>
    <x:xf numFmtId="0" fontId="3" fillId="5" borderId="12" xfId="0" applyNumberFormat="1" applyFont="1" applyFill="1" applyBorder="1" applyAlignment="1">
      <x:alignment horizontal="center" vertical="center"/>
    </x:xf>
    <x:xf numFmtId="0" fontId="3" fillId="6" borderId="4" xfId="0" applyNumberFormat="1" applyFont="1" applyFill="1" applyBorder="1" applyAlignment="1">
      <x:alignment horizontal="center" vertical="center"/>
    </x:xf>
    <x:xf numFmtId="0" fontId="3" fillId="6" borderId="7" xfId="0" applyNumberFormat="1" applyFont="1" applyFill="1" applyBorder="1" applyAlignment="1">
      <x:alignment horizontal="center" vertical="center"/>
    </x:xf>
    <x:xf numFmtId="0" fontId="3" fillId="6" borderId="10" xfId="0" applyNumberFormat="1" applyFont="1" applyFill="1" applyBorder="1" applyAlignment="1">
      <x:alignment horizontal="center" vertical="center"/>
    </x:xf>
    <x:xf numFmtId="0" fontId="3" fillId="6" borderId="13" xfId="0" applyNumberFormat="1" applyFont="1" applyFill="1" applyBorder="1" applyAlignment="1">
      <x:alignment horizontal="center" vertical="center"/>
    </x:xf>
    <x:xf numFmtId="200" fontId="3" fillId="5" borderId="3" xfId="0" applyNumberFormat="1" applyFont="1" applyFill="1" applyBorder="1" applyAlignment="1">
      <x:alignment horizontal="center" vertical="center"/>
    </x:xf>
    <x:xf numFmtId="200" fontId="3" fillId="5" borderId="6" xfId="0" applyNumberFormat="1" applyFont="1" applyFill="1" applyBorder="1" applyAlignment="1">
      <x:alignment horizontal="center" vertical="center"/>
    </x:xf>
    <x:xf numFmtId="200" fontId="3" fillId="5" borderId="9" xfId="0" applyNumberFormat="1" applyFont="1" applyFill="1" applyBorder="1" applyAlignment="1">
      <x:alignment horizontal="center" vertical="center"/>
    </x:xf>
    <x:xf numFmtId="200" fontId="3" fillId="5" borderId="12" xfId="0" applyNumberFormat="1" applyFont="1" applyFill="1" applyBorder="1" applyAlignment="1">
      <x:alignment horizontal="center" vertical="center"/>
    </x:xf>
    <x:xf numFmtId="200" fontId="3" fillId="6" borderId="4" xfId="0" applyNumberFormat="1" applyFont="1" applyFill="1" applyBorder="1" applyAlignment="1">
      <x:alignment horizontal="center" vertical="center"/>
    </x:xf>
    <x:xf numFmtId="200" fontId="3" fillId="6" borderId="7" xfId="0" applyNumberFormat="1" applyFont="1" applyFill="1" applyBorder="1" applyAlignment="1">
      <x:alignment horizontal="center" vertical="center"/>
    </x:xf>
    <x:xf numFmtId="200" fontId="3" fillId="6" borderId="10" xfId="0" applyNumberFormat="1" applyFont="1" applyFill="1" applyBorder="1" applyAlignment="1">
      <x:alignment horizontal="center" vertical="center"/>
    </x:xf>
    <x:xf numFmtId="200" fontId="3" fillId="6" borderId="13"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left"/>
    </x:xf>
    <x:xf numFmtId="0" fontId="4" fillId="7" borderId="0" xfId="0" applyNumberFormat="1" applyFont="1" applyFill="1" applyBorder="1" applyAlignment="1">
      <x:alignment horizontal="left" vertic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left"/>
    </x:xf>
    <x:xf numFmtId="0" fontId="4" fillId="7" borderId="1" xfId="0" applyNumberFormat="1" applyFont="1" applyFill="1" applyBorder="1" applyAlignment="1">
      <x:alignment horizontal="left" vertical="center"/>
    </x:xf>
    <x:xf numFmtId="0" fontId="0" fillId="4" borderId="0" xfId="0" applyNumberFormat="1" applyFont="1" applyFill="1" applyBorder="1"/>
    <x:xf numFmtId="0" fontId="5" fillId="4" borderId="0" xfId="0" applyNumberFormat="1" applyFont="1" applyFill="1" applyBorder="1"/>
    <x:xf numFmtId="0" fontId="5" fillId="4" borderId="14" xfId="0" applyNumberFormat="1" applyFont="1" applyFill="1" applyBorder="1"/>
    <x:xf numFmtId="0" fontId="5" fillId="4" borderId="15" xfId="0" applyNumberFormat="1" applyFont="1" applyFill="1" applyBorder="1"/>
    <x:xf numFmtId="0" fontId="5" fillId="4" borderId="16" xfId="0" applyNumberFormat="1" applyFont="1" applyFill="1" applyBorder="1"/>
    <x:xf numFmtId="0" fontId="5" fillId="4" borderId="14" xfId="0" applyNumberFormat="1" applyFont="1" applyFill="1" applyBorder="1" applyAlignment="1">
      <x:alignment wrapText="1"/>
    </x:xf>
    <x:xf numFmtId="0" fontId="5" fillId="4" borderId="15" xfId="0" applyNumberFormat="1" applyFont="1" applyFill="1" applyBorder="1" applyAlignment="1">
      <x:alignment wrapText="1"/>
    </x:xf>
    <x:xf numFmtId="0" fontId="5" fillId="4" borderId="16" xfId="0" applyNumberFormat="1" applyFont="1" applyFill="1" applyBorder="1" applyAlignment="1">
      <x:alignment wrapText="1"/>
    </x:xf>
    <x:xf numFmtId="0" fontId="5" fillId="4" borderId="14" xfId="0" applyNumberFormat="1" applyFont="1" applyFill="1" applyBorder="1" applyAlignment="1">
      <x:alignment horizontal="center" wrapText="1"/>
    </x:xf>
    <x:xf numFmtId="0" fontId="5" fillId="4" borderId="15" xfId="0" applyNumberFormat="1" applyFont="1" applyFill="1" applyBorder="1" applyAlignment="1">
      <x:alignment horizontal="center" wrapText="1"/>
    </x:xf>
    <x:xf numFmtId="0" fontId="5" fillId="4" borderId="16" xfId="0" applyNumberFormat="1" applyFont="1" applyFill="1" applyBorder="1" applyAlignment="1">
      <x:alignment horizontal="center" wrapText="1"/>
    </x:xf>
    <x:xf numFmtId="0" fontId="5" fillId="4" borderId="14" xfId="0" applyNumberFormat="1" applyFont="1" applyFill="1" applyBorder="1" applyAlignment="1">
      <x:alignment horizontal="center" vertical="center" wrapText="1"/>
    </x:xf>
    <x:xf numFmtId="0" fontId="5" fillId="4" borderId="15" xfId="0" applyNumberFormat="1" applyFont="1" applyFill="1" applyBorder="1" applyAlignment="1">
      <x:alignment horizontal="center" vertical="center" wrapText="1"/>
    </x:xf>
    <x:xf numFmtId="0" fontId="5" fillId="4" borderId="16"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7" xfId="0" applyNumberFormat="1" applyFont="1" applyFill="1" applyBorder="1"/>
    <x:xf numFmtId="0" fontId="5" fillId="4" borderId="18" xfId="0" applyNumberFormat="1" applyFont="1" applyFill="1" applyBorder="1"/>
    <x:xf numFmtId="0" fontId="5" fillId="4" borderId="19" xfId="0" applyNumberFormat="1" applyFont="1" applyFill="1" applyBorder="1"/>
    <x:xf numFmtId="0" fontId="5" fillId="4" borderId="17" xfId="0" applyNumberFormat="1" applyFont="1" applyFill="1" applyBorder="1" applyAlignment="1">
      <x:alignment wrapText="1"/>
    </x:xf>
    <x:xf numFmtId="0" fontId="5" fillId="4" borderId="18" xfId="0" applyNumberFormat="1" applyFont="1" applyFill="1" applyBorder="1" applyAlignment="1">
      <x:alignment wrapText="1"/>
    </x:xf>
    <x:xf numFmtId="0" fontId="5" fillId="4" borderId="19" xfId="0" applyNumberFormat="1" applyFont="1" applyFill="1" applyBorder="1" applyAlignment="1">
      <x:alignment wrapText="1"/>
    </x:xf>
    <x:xf numFmtId="0" fontId="5" fillId="4" borderId="17" xfId="0" applyNumberFormat="1" applyFont="1" applyFill="1" applyBorder="1" applyAlignment="1">
      <x:alignment horizontal="center" wrapText="1"/>
    </x:xf>
    <x:xf numFmtId="0" fontId="5" fillId="4" borderId="18" xfId="0" applyNumberFormat="1" applyFont="1" applyFill="1" applyBorder="1" applyAlignment="1">
      <x:alignment horizontal="center" wrapText="1"/>
    </x:xf>
    <x:xf numFmtId="0" fontId="5" fillId="4" borderId="19" xfId="0" applyNumberFormat="1" applyFont="1" applyFill="1" applyBorder="1" applyAlignment="1">
      <x:alignment horizontal="center" wrapText="1"/>
    </x:xf>
    <x:xf numFmtId="0" fontId="5" fillId="4" borderId="17" xfId="0" applyNumberFormat="1" applyFont="1" applyFill="1" applyBorder="1" applyAlignment="1">
      <x:alignment horizontal="center" vertical="center" wrapText="1"/>
    </x:xf>
    <x:xf numFmtId="0" fontId="5" fillId="4" borderId="18" xfId="0" applyNumberFormat="1" applyFont="1" applyFill="1" applyBorder="1" applyAlignment="1">
      <x:alignment horizontal="center" vertical="center" wrapText="1"/>
    </x:xf>
    <x:xf numFmtId="0" fontId="5" fillId="4" borderId="19" xfId="0" applyNumberFormat="1" applyFont="1" applyFill="1" applyBorder="1" applyAlignment="1">
      <x:alignment horizontal="center" vertical="center" wrapText="1"/>
    </x:xf>
    <x:xf numFmtId="0" fontId="0" fillId="0" borderId="20" xfId="0" applyNumberFormat="1" applyFont="1" applyFill="1" applyBorder="1"/>
    <x:xf numFmtId="0" fontId="0" fillId="0" borderId="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200" fontId="0" fillId="0" borderId="3"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2" xfId="0" applyNumberFormat="1" applyFont="1" applyFill="1" applyBorder="1" applyAlignment="1">
      <x:alignment wrapText="1"/>
    </x:xf>
    <x:xf numFmtId="0" fontId="0" fillId="8" borderId="0" xfId="0" applyNumberFormat="1" applyFont="1" applyFill="1" applyBorder="1"/>
    <x:xf numFmtId="0" fontId="2" fillId="8" borderId="0" xfId="0" applyNumberFormat="1" applyFont="1" applyFill="1" applyBorder="1"/>
    <x:xf numFmtId="0" fontId="2" fillId="8" borderId="24" xfId="0" applyNumberFormat="1" applyFont="1" applyFill="1" applyBorder="1"/>
    <x:xf numFmtId="0" fontId="2" fillId="8" borderId="25" xfId="0" applyNumberFormat="1" applyFont="1" applyFill="1" applyBorder="1"/>
    <x:xf numFmtId="0" fontId="2" fillId="8" borderId="26"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2" fillId="8" borderId="27" xfId="0" applyNumberFormat="1" applyFont="1" applyFill="1" applyBorder="1"/>
    <x:xf numFmtId="0" fontId="2" fillId="8" borderId="28" xfId="0" applyNumberFormat="1" applyFont="1" applyFill="1" applyBorder="1"/>
    <x:xf numFmtId="0" fontId="2" fillId="8" borderId="29" xfId="0" applyNumberFormat="1" applyFont="1" applyFill="1" applyBorder="1"/>
    <x:xf numFmtId="200" fontId="2" fillId="8" borderId="25" xfId="0" applyNumberFormat="1" applyFont="1" applyFill="1" applyBorder="1"/>
    <x:xf numFmtId="200" fontId="2" fillId="8" borderId="28"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201" fontId="0" fillId="0" borderId="2" xfId="0" applyNumberFormat="1" applyFont="1" applyFill="1" applyBorder="1" applyAlignment="1">
      <x:alignment wrapText="1"/>
    </x:xf>
    <x:xf numFmtId="201" fontId="0" fillId="0" borderId="20" xfId="0" applyNumberFormat="1" applyFont="1" applyFill="1" applyBorder="1" applyAlignment="1">
      <x:alignment wrapText="1"/>
    </x:xf>
    <x:xf numFmtId="201" fontId="0" fillId="0" borderId="5" xfId="0" applyNumberFormat="1" applyFont="1" applyFill="1" applyBorder="1" applyAlignment="1">
      <x:alignment wrapText="1"/>
    </x:xf>
    <x:xf numFmtId="201" fontId="0" fillId="0" borderId="8" xfId="0" applyNumberFormat="1" applyFont="1" applyFill="1" applyBorder="1" applyAlignment="1">
      <x:alignment wrapText="1"/>
    </x:xf>
    <x:xf numFmtId="201" fontId="0" fillId="0" borderId="22" xfId="0" applyNumberFormat="1" applyFont="1" applyFill="1" applyBorder="1" applyAlignment="1">
      <x:alignment wrapText="1"/>
    </x:xf>
    <x:xf numFmtId="201" fontId="0" fillId="0" borderId="11" xfId="0" applyNumberFormat="1" applyFont="1" applyFill="1" applyBorder="1" applyAlignment="1">
      <x:alignment wrapText="1"/>
    </x:xf>
    <x:xf numFmtId="201" fontId="0" fillId="0" borderId="2" xfId="0" applyNumberFormat="1" applyFont="1" applyFill="1" applyBorder="1" applyAlignment="1">
      <x:alignment vertical="top" wrapText="1"/>
    </x:xf>
    <x:xf numFmtId="201" fontId="0" fillId="0" borderId="20" xfId="0" applyNumberFormat="1" applyFont="1" applyFill="1" applyBorder="1" applyAlignment="1">
      <x:alignment vertical="top" wrapText="1"/>
    </x:xf>
    <x:xf numFmtId="201" fontId="0" fillId="0" borderId="5" xfId="0" applyNumberFormat="1" applyFont="1" applyFill="1" applyBorder="1" applyAlignment="1">
      <x:alignment vertical="top" wrapText="1"/>
    </x:xf>
    <x:xf numFmtId="201" fontId="0" fillId="0" borderId="8" xfId="0" applyNumberFormat="1" applyFont="1" applyFill="1" applyBorder="1" applyAlignment="1">
      <x:alignment vertical="top" wrapText="1"/>
    </x:xf>
    <x:xf numFmtId="201" fontId="0" fillId="0" borderId="2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2" fontId="0" fillId="0" borderId="2" xfId="0" applyNumberFormat="1" applyFont="1" applyFill="1" applyBorder="1" applyAlignment="1">
      <x:alignment wrapText="1"/>
    </x:xf>
    <x:xf numFmtId="202" fontId="0" fillId="0" borderId="20" xfId="0" applyNumberFormat="1" applyFont="1" applyFill="1" applyBorder="1" applyAlignment="1">
      <x:alignment wrapText="1"/>
    </x:xf>
    <x:xf numFmtId="202" fontId="0" fillId="0" borderId="5" xfId="0" applyNumberFormat="1" applyFont="1" applyFill="1" applyBorder="1" applyAlignment="1">
      <x:alignment wrapText="1"/>
    </x:xf>
    <x:xf numFmtId="202" fontId="0" fillId="0" borderId="8" xfId="0" applyNumberFormat="1" applyFont="1" applyFill="1" applyBorder="1" applyAlignment="1">
      <x:alignment wrapText="1"/>
    </x:xf>
    <x:xf numFmtId="202" fontId="0" fillId="0" borderId="22" xfId="0" applyNumberFormat="1" applyFont="1" applyFill="1" applyBorder="1" applyAlignment="1">
      <x:alignment wrapText="1"/>
    </x:xf>
    <x:xf numFmtId="202" fontId="0" fillId="0" borderId="11" xfId="0" applyNumberFormat="1" applyFont="1" applyFill="1" applyBorder="1" applyAlignment="1">
      <x:alignment wrapText="1"/>
    </x:xf>
    <x:xf numFmtId="202" fontId="0" fillId="0" borderId="2" xfId="0" applyNumberFormat="1" applyFont="1" applyFill="1" applyBorder="1" applyAlignment="1">
      <x:alignment vertical="top" wrapText="1"/>
    </x:xf>
    <x:xf numFmtId="202" fontId="0" fillId="0" borderId="20" xfId="0" applyNumberFormat="1" applyFont="1" applyFill="1" applyBorder="1" applyAlignment="1">
      <x:alignment vertical="top" wrapText="1"/>
    </x:xf>
    <x:xf numFmtId="202" fontId="0" fillId="0" borderId="5" xfId="0" applyNumberFormat="1" applyFont="1" applyFill="1" applyBorder="1" applyAlignment="1">
      <x:alignment vertical="top" wrapText="1"/>
    </x:xf>
    <x:xf numFmtId="202" fontId="0" fillId="0" borderId="8" xfId="0" applyNumberFormat="1" applyFont="1" applyFill="1" applyBorder="1" applyAlignment="1">
      <x:alignment vertical="top" wrapText="1"/>
    </x:xf>
    <x:xf numFmtId="202" fontId="0" fillId="0" borderId="22" xfId="0" applyNumberFormat="1" applyFont="1" applyFill="1" applyBorder="1" applyAlignment="1">
      <x:alignment vertical="top" wrapText="1"/>
    </x:xf>
    <x:xf numFmtId="202" fontId="0" fillId="0" borderId="11" xfId="0" applyNumberFormat="1" applyFont="1" applyFill="1" applyBorder="1" applyAlignment="1">
      <x:alignment vertical="top" wrapText="1"/>
    </x:xf>
  </x:cellXfs>
  <x:cellStyles count="1">
    <x:cellStyle name="Normal" xfId="0"/>
  </x:cellStyles>
  <x:dxfs count="24">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a0c5ee437b84234" /><Relationship Type="http://schemas.openxmlformats.org/officeDocument/2006/relationships/theme" Target="/xl/theme/theme1.xml" Id="Reabd4bad7be44c12" /><Relationship Type="http://schemas.openxmlformats.org/officeDocument/2006/relationships/sharedStrings" Target="/xl/sharedStrings.xml" Id="R8fe3eaf4e6da4bee" /><Relationship Type="http://schemas.openxmlformats.org/officeDocument/2006/relationships/worksheet" Target="/xl/worksheets/sheet1.xml" Id="R4b1775280b68426e" /><Relationship Type="http://schemas.openxmlformats.org/officeDocument/2006/relationships/worksheet" Target="/xl/worksheets/sheet2.xml" Id="R45e5fd9f0afd4164" /><Relationship Type="http://schemas.openxmlformats.org/officeDocument/2006/relationships/worksheet" Target="/xl/worksheets/sheet3.xml" Id="R8a38d5e685ae4055" /><Relationship Type="http://schemas.openxmlformats.org/officeDocument/2006/relationships/worksheet" Target="/xl/worksheets/sheet4.xml" Id="R2582f38050a84fc3" /><Relationship Type="http://schemas.openxmlformats.org/officeDocument/2006/relationships/worksheet" Target="/xl/worksheets/sheet5.xml" Id="Rbc7f4f50ac414a64" /><Relationship Type="http://schemas.openxmlformats.org/officeDocument/2006/relationships/worksheet" Target="/xl/worksheets/sheet6.xml" Id="R539d9eb38d254e95" /><Relationship Type="http://schemas.openxmlformats.org/officeDocument/2006/relationships/worksheet" Target="/xl/worksheets/sheet7.xml" Id="R5cd287a83eb44a85" /><Relationship Type="http://schemas.openxmlformats.org/officeDocument/2006/relationships/worksheet" Target="/xl/worksheets/sheet8.xml" Id="Rc81fb8bca6c64d8a" /><Relationship Type="http://schemas.openxmlformats.org/officeDocument/2006/relationships/worksheet" Target="/xl/worksheets/sheet9.xml" Id="R466bb54e77824bac" /><Relationship Type="http://schemas.openxmlformats.org/officeDocument/2006/relationships/worksheet" Target="/xl/worksheets/sheet10.xml" Id="R390f167cfdd944f5" /><Relationship Type="http://schemas.openxmlformats.org/officeDocument/2006/relationships/worksheet" Target="/xl/worksheets/sheet11.xml" Id="R0d0a00c32d9c4687"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273580b7cc47d8"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事件数</c:v>
          </c:tx>
          <c:cat>
            <c:strRef>
              <c:f>'总览'!$A$10:$A$16</c:f>
              <c:strCache>
                <c:ptCount val="0"/>
              </c:strCache>
            </c:strRef>
          </c:cat>
          <c:val>
            <c:numRef>
              <c:f>'总览'!$C$10:$C$16</c:f>
              <c:numCache>
                <c:formatCode>General</c:formatCode>
                <c:ptCount val="0"/>
              </c:numCache>
            </c:numRef>
          </c:val>
        </c:ser>
        <c:ser>
          <c:idx val="1"/>
          <c:order val="1"/>
          <c:tx>
            <c:v>交易数</c:v>
          </c:tx>
          <c:cat>
            <c:strRef>
              <c:f>'总览'!$A$10:$A$16</c:f>
              <c:strCache>
                <c:ptCount val="0"/>
              </c:strCache>
            </c:strRef>
          </c:cat>
          <c:val>
            <c:numRef>
              <c:f>'总览'!$D$10:$D$16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273580b7cc47d8"/>
        </a:graphicData>
      </a:graphic>
    </xdr:graphicFrame>
    <xdr:clientData/>
  </xdr:twoCellAnchor>
</xdr:wsDr>
</file>

<file path=xl/tables/table1.xml><?xml version="1.0" encoding="utf-8"?>
<x:table xmlns:x="http://schemas.openxmlformats.org/spreadsheetml/2006/main" id="1" name="AllEvents" displayName="AllEvents" ref="A1:R27" headerRowCount="1">
  <x:tableColumns count="18">
    <x:tableColumn id="1" name="证券代码"/>
    <x:tableColumn id="2" name="公司简称"/>
    <x:tableColumn id="3" name="事件ID"/>
    <x:tableColumn id="4" name="候选事件ID"/>
    <x:tableColumn id="5" name="事件类型"/>
    <x:tableColumn id="6" name="事件组"/>
    <x:tableColumn id="7" name="事件期间"/>
    <x:tableColumn id="8" name="事件标题"/>
    <x:tableColumn id="9" name="PDF起始页"/>
    <x:tableColumn id="10" name="PDF结束页"/>
    <x:tableColumn id="11" name="正文起始页"/>
    <x:tableColumn id="12" name="正文结束页"/>
    <x:tableColumn id="13" name="主证据ID"/>
    <x:tableColumn id="14" name="披露范围"/>
    <x:tableColumn id="15" name="候选置信度"/>
    <x:tableColumn id="16" name="抽取状态"/>
    <x:tableColumn id="17" name="是否复核"/>
    <x:tableColumn id="18" name="复核原因"/>
  </x:tableColumns>
  <x:tableStyleInfo name="TableStyleMedium2" showRowStripes="1"/>
</x:table>
</file>

<file path=xl/tables/table2.xml><?xml version="1.0" encoding="utf-8"?>
<x:table xmlns:x="http://schemas.openxmlformats.org/spreadsheetml/2006/main" id="2" name="AllTransactions" displayName="AllTransactions" ref="A1:U28" headerRowCount="1">
  <x:tableColumns count="21">
    <x:tableColumn id="1" name="证券代码"/>
    <x:tableColumn id="2" name="公司简称"/>
    <x:tableColumn id="3" name="交易ID"/>
    <x:tableColumn id="4" name="事件ID"/>
    <x:tableColumn id="5" name="交易类型"/>
    <x:tableColumn id="6" name="交易日期"/>
    <x:tableColumn id="7" name="日期角色"/>
    <x:tableColumn id="8" name="转让方ID"/>
    <x:tableColumn id="9" name="受让方ID"/>
    <x:tableColumn id="10" name="投资方ID"/>
    <x:tableColumn id="11" name="被吸收方ID"/>
    <x:tableColumn id="12" name="增资前注册资本事实ID"/>
    <x:tableColumn id="13" name="增资后注册资本事实ID"/>
    <x:tableColumn id="14" name="增资额事实ID"/>
    <x:tableColumn id="15" name="对价事实ID"/>
    <x:tableColumn id="16" name="股数事实ID"/>
    <x:tableColumn id="17" name="价格事实ID"/>
    <x:tableColumn id="18" name="持股比例事实ID"/>
    <x:tableColumn id="19" name="交易状态"/>
    <x:tableColumn id="20" name="是否复核"/>
    <x:tableColumn id="21" name="复核原因"/>
  </x:tableColumns>
  <x:tableStyleInfo name="TableStyleMedium2" showRowStripes="1"/>
</x:table>
</file>

<file path=xl/tables/table3.xml><?xml version="1.0" encoding="utf-8"?>
<x:table xmlns:x="http://schemas.openxmlformats.org/spreadsheetml/2006/main" id="3" name="AllNumericFacts" displayName="AllNumericFacts" ref="A1:S93" headerRowCount="1">
  <x:tableColumns count="19">
    <x:tableColumn id="1" name="证券代码"/>
    <x:tableColumn id="2" name="公司简称"/>
    <x:tableColumn id="3" name="数值事实ID"/>
    <x:tableColumn id="4" name="事件ID"/>
    <x:tableColumn id="5" name="事实类型"/>
    <x:tableColumn id="6" name="原文数值"/>
    <x:tableColumn id="7" name="原始数值"/>
    <x:tableColumn id="8" name="标准单位"/>
    <x:tableColumn id="9" name="币种"/>
    <x:tableColumn id="10" name="缩放倍数"/>
    <x:tableColumn id="11" name="标准化值"/>
    <x:tableColumn id="12" name="值类型"/>
    <x:tableColumn id="13" name="证据ID"/>
    <x:tableColumn id="14" name="PDF起始页"/>
    <x:tableColumn id="15" name="PDF结束页"/>
    <x:tableColumn id="16" name="上下文"/>
    <x:tableColumn id="17" name="置信度"/>
    <x:tableColumn id="18" name="是否复核"/>
    <x:tableColumn id="19" name="复核原因"/>
  </x:tableColumns>
  <x:tableStyleInfo name="TableStyleMedium2" showRowStripes="1"/>
</x:table>
</file>

<file path=xl/tables/table4.xml><?xml version="1.0" encoding="utf-8"?>
<x:table xmlns:x="http://schemas.openxmlformats.org/spreadsheetml/2006/main" id="4" name="AllNumericValidations" displayName="AllNumericValidations" ref="A1:R82" headerRowCount="1">
  <x:tableColumns count="18">
    <x:tableColumn id="1" name="证券代码"/>
    <x:tableColumn id="2" name="公司简称"/>
    <x:tableColumn id="3" name="校验ID"/>
    <x:tableColumn id="4" name="事件ID"/>
    <x:tableColumn id="5" name="交易ID"/>
    <x:tableColumn id="6" name="规则ID"/>
    <x:tableColumn id="7" name="校验规则"/>
    <x:tableColumn id="8" name="校验状态"/>
    <x:tableColumn id="9" name="披露输入事实ID"/>
    <x:tableColumn id="10" name="输入值"/>
    <x:tableColumn id="11" name="计算公式"/>
    <x:tableColumn id="12" name="计算值"/>
    <x:tableColumn id="13" name="披露比较值"/>
    <x:tableColumn id="14" name="绝对差异"/>
    <x:tableColumn id="15" name="相对差异"/>
    <x:tableColumn id="16" name="证据ID"/>
    <x:tableColumn id="17" name="是否复核"/>
    <x:tableColumn id="18" name="复核原因"/>
  </x:tableColumns>
  <x:tableStyleInfo name="TableStyleMedium2" showRowStripes="1"/>
</x:table>
</file>

<file path=xl/tables/table5.xml><?xml version="1.0" encoding="utf-8"?>
<x:table xmlns:x="http://schemas.openxmlformats.org/spreadsheetml/2006/main" id="5" name="FinalPEVCEntities" displayName="FinalPEVCEntities" ref="A1:N3" headerRowCount="1">
  <x:tableColumns count="14">
    <x:tableColumn id="1" name="证券代码"/>
    <x:tableColumn id="2" name="公司简称"/>
    <x:tableColumn id="3" name="投资主体ID"/>
    <x:tableColumn id="4" name="投资主体"/>
    <x:tableColumn id="5" name="主体类型"/>
    <x:tableColumn id="6" name="PE/VC状态"/>
    <x:tableColumn id="7" name="分类依据"/>
    <x:tableColumn id="8" name="来源事件ID"/>
    <x:tableColumn id="9" name="来源交易ID"/>
    <x:tableColumn id="10" name="证据ID"/>
    <x:tableColumn id="11" name="抽取来源"/>
    <x:tableColumn id="12" name="置信度"/>
    <x:tableColumn id="13" name="是否复核"/>
    <x:tableColumn id="14" name="复核原因"/>
  </x:tableColumns>
  <x:tableStyleInfo name="TableStyleMedium2" showRowStripes="1"/>
</x:table>
</file>

<file path=xl/tables/table6.xml><?xml version="1.0" encoding="utf-8"?>
<x:table xmlns:x="http://schemas.openxmlformats.org/spreadsheetml/2006/main" id="6" name="FinalPEVCPaths" displayName="FinalPEVCPaths" ref="A1:P3" headerRowCount="1">
  <x:tableColumns count="16">
    <x:tableColumn id="1" name="证券代码"/>
    <x:tableColumn id="2" name="公司简称"/>
    <x:tableColumn id="3" name="投资路径ID"/>
    <x:tableColumn id="4" name="投资主体ID"/>
    <x:tableColumn id="5" name="投资主体"/>
    <x:tableColumn id="6" name="事件ID"/>
    <x:tableColumn id="7" name="交易ID"/>
    <x:tableColumn id="8" name="进入方式"/>
    <x:tableColumn id="9" name="投资层级"/>
    <x:tableColumn id="10" name="直接/间接"/>
    <x:tableColumn id="11" name="交易日期"/>
    <x:tableColumn id="12" name="证据ID"/>
    <x:tableColumn id="13" name="路径状态"/>
    <x:tableColumn id="14" name="置信度"/>
    <x:tableColumn id="15" name="是否复核"/>
    <x:tableColumn id="16" name="复核原因"/>
  </x:tableColumns>
  <x:tableStyleInfo name="TableStyleMedium2" showRowStripes="1"/>
</x:table>
</file>

<file path=xl/tables/table7.xml><?xml version="1.0" encoding="utf-8"?>
<x:table xmlns:x="http://schemas.openxmlformats.org/spreadsheetml/2006/main" id="7" name="SnapshotStatus" displayName="SnapshotStatus" ref="A1:G8" headerRowCount="1">
  <x:tableColumns count="7">
    <x:tableColumn id="1" name="证券代码"/>
    <x:tableColumn id="2" name="公司简称"/>
    <x:tableColumn id="3" name="快照状态"/>
    <x:tableColumn id="4" name="快照数量"/>
    <x:tableColumn id="5" name="可用持股比例事实ID"/>
    <x:tableColumn id="6" name="是否需人工复核"/>
    <x:tableColumn id="7" name="处理原则"/>
  </x:tableColumns>
  <x:tableStyleInfo name="TableStyleMedium2" showRowStripes="1"/>
</x:table>
</file>

<file path=xl/tables/table8.xml><?xml version="1.0" encoding="utf-8"?>
<x:table xmlns:x="http://schemas.openxmlformats.org/spreadsheetml/2006/main" id="8" name="ReviewHistory" displayName="ReviewHistory" ref="A1:M20" headerRowCount="1">
  <x:tableColumns count="13">
    <x:tableColumn id="1" name="证券代码"/>
    <x:tableColumn id="2" name="公司简称"/>
    <x:tableColumn id="3" name="来源阶段"/>
    <x:tableColumn id="4" name="复核ID"/>
    <x:tableColumn id="5" name="记录类型"/>
    <x:tableColumn id="6" name="记录ID"/>
    <x:tableColumn id="7" name="事件ID"/>
    <x:tableColumn id="8" name="交易ID"/>
    <x:tableColumn id="9" name="复核原因"/>
    <x:tableColumn id="10" name="已有决定"/>
    <x:tableColumn id="11" name="复核状态"/>
    <x:tableColumn id="12" name="人工状态"/>
    <x:tableColumn id="13" name="人工备注"/>
  </x:tableColumns>
  <x:tableStyleInfo name="TableStyleMedium2" showRowStripes="1"/>
</x:table>
</file>

<file path=xl/tables/table9.xml><?xml version="1.0" encoding="utf-8"?>
<x:table xmlns:x="http://schemas.openxmlformats.org/spreadsheetml/2006/main" id="9" name="EvidenceIndex" displayName="EvidenceIndex" ref="A1:N41" headerRowCount="1">
  <x:tableColumns count="14">
    <x:tableColumn id="1" name="证券代码"/>
    <x:tableColumn id="2" name="公司简称"/>
    <x:tableColumn id="3" name="证据ID"/>
    <x:tableColumn id="4" name="候选事件ID"/>
    <x:tableColumn id="5" name="证据角色"/>
    <x:tableColumn id="6" name="来源类型"/>
    <x:tableColumn id="7" name="PDF起始页"/>
    <x:tableColumn id="8" name="PDF结束页"/>
    <x:tableColumn id="9" name="正文起始页"/>
    <x:tableColumn id="10" name="正文结束页"/>
    <x:tableColumn id="11" name="原文行范围"/>
    <x:tableColumn id="12" name="原文证据"/>
    <x:tableColumn id="13" name="证据SHA256"/>
    <x:tableColumn id="14" name="匹配信号"/>
  </x:tableColumns>
  <x:tableStyleInfo name="TableStyleMedium2" showRowStripes="1"/>
</x:table>
</file>

<file path=xl/tables/table10.xml><?xml version="1.0" encoding="utf-8"?>
<x:table xmlns:x="http://schemas.openxmlformats.org/spreadsheetml/2006/main" id="10" name="DataDictionary" displayName="DataDictionary" ref="A1:C15" headerRowCount="1">
  <x:tableColumns count="3">
    <x:tableColumn id="1" name="类别"/>
    <x:tableColumn id="2" name="字段/状态"/>
    <x:tableColumn id="3"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e12b6d81e3480e" /></Relationships>
</file>

<file path=xl/worksheets/_rels/sheet2.xml.rels>&#65279;<?xml version="1.0" encoding="utf-8"?><Relationships xmlns="http://schemas.openxmlformats.org/package/2006/relationships"><Relationship Type="http://schemas.openxmlformats.org/officeDocument/2006/relationships/table" Target="/xl/tables/table1.xml" Id="Rc07b0fe3df69441b" /></Relationships>
</file>

<file path=xl/worksheets/_rels/sheet3.xml.rels>&#65279;<?xml version="1.0" encoding="utf-8"?><Relationships xmlns="http://schemas.openxmlformats.org/package/2006/relationships"><Relationship Type="http://schemas.openxmlformats.org/officeDocument/2006/relationships/table" Target="/xl/tables/table2.xml" Id="R180f1329b4f945b1" /></Relationships>
</file>

<file path=xl/worksheets/_rels/sheet4.xml.rels>&#65279;<?xml version="1.0" encoding="utf-8"?><Relationships xmlns="http://schemas.openxmlformats.org/package/2006/relationships"><Relationship Type="http://schemas.openxmlformats.org/officeDocument/2006/relationships/table" Target="/xl/tables/table3.xml" Id="R9bf5d336677f47ad" /></Relationships>
</file>

<file path=xl/worksheets/_rels/sheet5.xml.rels>&#65279;<?xml version="1.0" encoding="utf-8"?><Relationships xmlns="http://schemas.openxmlformats.org/package/2006/relationships"><Relationship Type="http://schemas.openxmlformats.org/officeDocument/2006/relationships/table" Target="/xl/tables/table4.xml" Id="R42f2b3f3b0bb474c" /></Relationships>
</file>

<file path=xl/worksheets/_rels/sheet6.xml.rels>&#65279;<?xml version="1.0" encoding="utf-8"?><Relationships xmlns="http://schemas.openxmlformats.org/package/2006/relationships"><Relationship Type="http://schemas.openxmlformats.org/officeDocument/2006/relationships/table" Target="/xl/tables/table5.xml" Id="Rb49983baacdf46a7" /></Relationships>
</file>

<file path=xl/worksheets/_rels/sheet7.xml.rels>&#65279;<?xml version="1.0" encoding="utf-8"?><Relationships xmlns="http://schemas.openxmlformats.org/package/2006/relationships"><Relationship Type="http://schemas.openxmlformats.org/officeDocument/2006/relationships/table" Target="/xl/tables/table6.xml" Id="Ra99665f86a054544" /></Relationships>
</file>

<file path=xl/worksheets/_rels/sheet8.xml.rels>&#65279;<?xml version="1.0" encoding="utf-8"?><Relationships xmlns="http://schemas.openxmlformats.org/package/2006/relationships"><Relationship Type="http://schemas.openxmlformats.org/officeDocument/2006/relationships/table" Target="/xl/tables/table7.xml" Id="R4c977f7294fd43c1" /></Relationships>
</file>

<file path=xl/worksheets/_rels/sheet9.xml.rels>&#65279;<?xml version="1.0" encoding="utf-8"?><Relationships xmlns="http://schemas.openxmlformats.org/package/2006/relationships"><Relationship Type="http://schemas.openxmlformats.org/officeDocument/2006/relationships/table" Target="/xl/tables/table8.xml" Id="R0f339bfa641c4c1c" /></Relationships>
</file>

<file path=xl/worksheets/_rels/sheet10.xml.rels>&#65279;<?xml version="1.0" encoding="utf-8"?><Relationships xmlns="http://schemas.openxmlformats.org/package/2006/relationships"><Relationship Type="http://schemas.openxmlformats.org/officeDocument/2006/relationships/table" Target="/xl/tables/table9.xml" Id="R2a596900d8be4db8" /></Relationships>
</file>

<file path=xl/worksheets/_rels/sheet11.xml.rels>&#65279;<?xml version="1.0" encoding="utf-8"?><Relationships xmlns="http://schemas.openxmlformats.org/package/2006/relationships"><Relationship Type="http://schemas.openxmlformats.org/officeDocument/2006/relationships/table" Target="/xl/tables/table10.xml" Id="R234928f3bf8548d7" /></Relationships>
</file>

<file path=xl/worksheets/sheet1.xml><?xml version="1.0" encoding="utf-8"?>
<x:worksheet xmlns:x="http://schemas.openxmlformats.org/spreadsheetml/2006/main">
  <x:sheetFormatPr defaultRowHeight="15"/>
  <x:cols>
    <x:col min="1" max="1" width="13" hidden="0" customWidth="1"/>
    <x:col min="2" max="2" width="28" hidden="0" customWidth="1"/>
    <x:col min="3" max="3" width="11" hidden="0" customWidth="1"/>
    <x:col min="4" max="4" width="11" hidden="0" customWidth="1"/>
    <x:col min="5" max="5" width="12" hidden="0" customWidth="1"/>
    <x:col min="6" max="6" width="12" hidden="0" customWidth="1"/>
    <x:col min="7" max="7" width="13" hidden="0" customWidth="1"/>
    <x:col min="8" max="8" width="26" hidden="0" customWidth="1"/>
  </x:cols>
  <x:sheetData>
    <x:row r="1" ht="30" customHeight="1">
      <x:c r="A1" s="5" t="str">
        <x:v>七家公司IPO股本与PE/VC提取最终结果</x:v>
      </x:c>
      <x:c r="B1" s="5"/>
      <x:c r="C1" s="5"/>
      <x:c r="D1" s="5"/>
      <x:c r="E1" s="5"/>
      <x:c r="F1" s="5"/>
      <x:c r="G1" s="5"/>
      <x:c r="H1" s="5"/>
    </x:row>
    <x:row r="2">
      <x:c r="A2" s="14" t="str">
        <x:v>Build ID</x:v>
      </x:c>
      <x:c r="B2" s="14" t="str">
        <x:v>FINALASSEMBLY_V01_20260724_000052</x:v>
      </x:c>
      <x:c r="C2" s="14" t="str">
        <x:v>构建状态</x:v>
      </x:c>
      <x:c r="D2" s="14" t="str">
        <x:v>FINAL_JSON_READY</x:v>
      </x:c>
      <x:c r="E2" s="14" t="str">
        <x:v>最终验证</x:v>
      </x:c>
      <x:c r="F2" s="14" t="str">
        <x:v>PASSED</x:v>
      </x:c>
      <x:c r="G2" s="14" t="str">
        <x:v>生成时间</x:v>
      </x:c>
      <x:c r="H2" s="14" t="str">
        <x:v>'2026-07-24 00:00:52 +08:00</x:v>
      </x:c>
    </x:row>
    <x:row r="4">
      <x:c r="A4" s="52" t="str">
        <x:v>公司数</x:v>
      </x:c>
      <x:c r="B4" s="53" t="str">
        <x:v>公司数</x:v>
      </x:c>
      <x:c r="C4" s="76" t="n">
        <x:f>COUNTA(A10:A16)</x:f>
        <x:v>7</x:v>
      </x:c>
      <x:c r="D4" s="53" t="str">
        <x:v>事件数</x:v>
      </x:c>
      <x:c r="E4" s="53" t="str">
        <x:v>事件数</x:v>
      </x:c>
      <x:c r="F4" s="76" t="n">
        <x:f>SUM(C10:C16)</x:f>
        <x:v>26</x:v>
      </x:c>
      <x:c r="G4" s="53" t="str">
        <x:v>交易数</x:v>
      </x:c>
      <x:c r="H4" s="80" t="n">
        <x:f>SUM(D10:D16)</x:f>
        <x:v>27</x:v>
      </x:c>
    </x:row>
    <x:row r="5">
      <x:c r="A5" s="54" t="str">
        <x:v>PE/VC主体</x:v>
      </x:c>
      <x:c r="B5" s="55" t="str">
        <x:v>PE/VC主体</x:v>
      </x:c>
      <x:c r="C5" s="77" t="n">
        <x:f>SUM(E10:E16)</x:f>
        <x:v>2</x:v>
      </x:c>
      <x:c r="D5" s="55" t="str">
        <x:v>PE/VC路径</x:v>
      </x:c>
      <x:c r="E5" s="55" t="str">
        <x:v>PE/VC路径</x:v>
      </x:c>
      <x:c r="F5" s="77" t="n">
        <x:f>SUM(F10:F16)</x:f>
        <x:v>2</x:v>
      </x:c>
      <x:c r="G5" s="55" t="str">
        <x:v>开放复核记录</x:v>
      </x:c>
      <x:c r="H5" s="81" t="n">
        <x:f>SUM(G10:G16)</x:f>
        <x:v>0</x:v>
      </x:c>
    </x:row>
    <x:row r="7">
      <x:c r="A7" s="87" t="str">
        <x:v>公司汇总</x:v>
      </x:c>
      <x:c r="B7" s="87"/>
      <x:c r="C7" s="87"/>
      <x:c r="D7" s="87"/>
      <x:c r="E7" s="87"/>
      <x:c r="F7" s="87"/>
      <x:c r="G7" s="87"/>
      <x:c r="H7" s="87"/>
    </x:row>
    <x:row r="9">
      <x:c r="A9" s="103" t="str">
        <x:v>证券代码</x:v>
      </x:c>
      <x:c r="B9" s="104" t="str">
        <x:v>公司简称</x:v>
      </x:c>
      <x:c r="C9" s="104" t="str">
        <x:v>事件数</x:v>
      </x:c>
      <x:c r="D9" s="104" t="str">
        <x:v>交易数</x:v>
      </x:c>
      <x:c r="E9" s="104" t="str">
        <x:v>PE/VC主体</x:v>
      </x:c>
      <x:c r="F9" s="104" t="str">
        <x:v>PE/VC路径</x:v>
      </x:c>
      <x:c r="G9" s="104" t="str">
        <x:v>开放复核</x:v>
      </x:c>
      <x:c r="H9" s="105" t="str">
        <x:v>股权快照状态</x:v>
      </x:c>
    </x:row>
    <x:row r="10">
      <x:c r="A10" s="191" t="n">
        <x:v>1282</x:v>
      </x:c>
      <x:c r="B10" s="126" t="str">
        <x:v>三联锻造</x:v>
      </x:c>
      <x:c r="C10" s="143" t="n">
        <x:v>3</x:v>
      </x:c>
      <x:c r="D10" s="143" t="n">
        <x:v>3</x:v>
      </x:c>
      <x:c r="E10" s="143" t="n">
        <x:v>0</x:v>
      </x:c>
      <x:c r="F10" s="143" t="n">
        <x:v>0</x:v>
      </x:c>
      <x:c r="G10" s="143" t="n">
        <x:v>0</x:v>
      </x:c>
      <x:c r="H10" s="127" t="str">
        <x:v>DISCLOSED_FACTS_AVAILABLE_BUT_PARTY_RATIO_LINKAGE_NOT_CONFIRMED</x:v>
      </x:c>
    </x:row>
    <x:row r="11">
      <x:c r="A11" s="192" t="n">
        <x:v>301581</x:v>
      </x:c>
      <x:c r="B11" s="129" t="str">
        <x:v>黄山谷捷</x:v>
      </x:c>
      <x:c r="C11" s="144" t="n">
        <x:v>6</x:v>
      </x:c>
      <x:c r="D11" s="144" t="n">
        <x:v>6</x:v>
      </x:c>
      <x:c r="E11" s="144" t="n">
        <x:v>0</x:v>
      </x:c>
      <x:c r="F11" s="144" t="n">
        <x:v>0</x:v>
      </x:c>
      <x:c r="G11" s="144" t="n">
        <x:v>0</x:v>
      </x:c>
      <x:c r="H11" s="130" t="str">
        <x:v>DISCLOSED_FACTS_AVAILABLE_BUT_PARTY_RATIO_LINKAGE_NOT_CONFIRMED</x:v>
      </x:c>
    </x:row>
    <x:row r="12">
      <x:c r="A12" s="192" t="n">
        <x:v>603418</x:v>
      </x:c>
      <x:c r="B12" s="129" t="str">
        <x:v>友升股份</x:v>
      </x:c>
      <x:c r="C12" s="144" t="n">
        <x:v>5</x:v>
      </x:c>
      <x:c r="D12" s="144" t="n">
        <x:v>5</x:v>
      </x:c>
      <x:c r="E12" s="144" t="n">
        <x:v>2</x:v>
      </x:c>
      <x:c r="F12" s="144" t="n">
        <x:v>2</x:v>
      </x:c>
      <x:c r="G12" s="144" t="n">
        <x:v>0</x:v>
      </x:c>
      <x:c r="H12" s="130" t="str">
        <x:v>NOT_CONSTRUCTIBLE_FROM_CURRENT_DISCLOSED_FACTS</x:v>
      </x:c>
    </x:row>
    <x:row r="13">
      <x:c r="A13" s="192" t="n">
        <x:v>688758</x:v>
      </x:c>
      <x:c r="B13" s="129" t="str">
        <x:v>赛分科技</x:v>
      </x:c>
      <x:c r="C13" s="144" t="n">
        <x:v>7</x:v>
      </x:c>
      <x:c r="D13" s="144" t="n">
        <x:v>8</x:v>
      </x:c>
      <x:c r="E13" s="144" t="n">
        <x:v>0</x:v>
      </x:c>
      <x:c r="F13" s="144" t="n">
        <x:v>0</x:v>
      </x:c>
      <x:c r="G13" s="144" t="n">
        <x:v>0</x:v>
      </x:c>
      <x:c r="H13" s="130" t="str">
        <x:v>DISCLOSED_FACTS_AVAILABLE_BUT_PARTY_RATIO_LINKAGE_NOT_CONFIRMED</x:v>
      </x:c>
    </x:row>
    <x:row r="14">
      <x:c r="A14" s="192" t="n">
        <x:v>688775</x:v>
      </x:c>
      <x:c r="B14" s="129" t="str">
        <x:v>影石创新</x:v>
      </x:c>
      <x:c r="C14" s="144" t="n">
        <x:v>3</x:v>
      </x:c>
      <x:c r="D14" s="144" t="n">
        <x:v>3</x:v>
      </x:c>
      <x:c r="E14" s="144" t="n">
        <x:v>0</x:v>
      </x:c>
      <x:c r="F14" s="144" t="n">
        <x:v>0</x:v>
      </x:c>
      <x:c r="G14" s="144" t="n">
        <x:v>0</x:v>
      </x:c>
      <x:c r="H14" s="130" t="str">
        <x:v>NOT_CONSTRUCTIBLE_FROM_CURRENT_DISCLOSED_FACTS</x:v>
      </x:c>
    </x:row>
    <x:row r="15">
      <x:c r="A15" s="192" t="n">
        <x:v>920100</x:v>
      </x:c>
      <x:c r="B15" s="129" t="str">
        <x:v>三协电机</x:v>
      </x:c>
      <x:c r="C15" s="144" t="n">
        <x:v>1</x:v>
      </x:c>
      <x:c r="D15" s="144" t="n">
        <x:v>1</x:v>
      </x:c>
      <x:c r="E15" s="144" t="n">
        <x:v>0</x:v>
      </x:c>
      <x:c r="F15" s="144" t="n">
        <x:v>0</x:v>
      </x:c>
      <x:c r="G15" s="144" t="n">
        <x:v>0</x:v>
      </x:c>
      <x:c r="H15" s="130" t="str">
        <x:v>NOT_CONSTRUCTIBLE_FROM_CURRENT_DISCLOSED_FACTS</x:v>
      </x:c>
    </x:row>
    <x:row r="16">
      <x:c r="A16" s="193" t="n">
        <x:v>920116</x:v>
      </x:c>
      <x:c r="B16" s="132" t="str">
        <x:v>星图测控</x:v>
      </x:c>
      <x:c r="C16" s="145" t="n">
        <x:v>1</x:v>
      </x:c>
      <x:c r="D16" s="145" t="n">
        <x:v>1</x:v>
      </x:c>
      <x:c r="E16" s="145" t="n">
        <x:v>0</x:v>
      </x:c>
      <x:c r="F16" s="145" t="n">
        <x:v>0</x:v>
      </x:c>
      <x:c r="G16" s="145" t="n">
        <x:v>0</x:v>
      </x:c>
      <x:c r="H16" s="133" t="str">
        <x:v>NOT_CONSTRUCTIBLE_FROM_CURRENT_DISCLOSED_FACTS</x:v>
      </x:c>
    </x:row>
    <x:row r="17">
      <x:c r="A17" s="151" t="str">
        <x:v>总计</x:v>
      </x:c>
      <x:c r="B17" s="152" t="str">
        <x:v>总计</x:v>
      </x:c>
      <x:c r="C17" s="159" t="n">
        <x:f>SUM(C10:C16)</x:f>
        <x:v>26</x:v>
      </x:c>
      <x:c r="D17" s="159" t="n">
        <x:f>SUM(D10:D16)</x:f>
        <x:v>27</x:v>
      </x:c>
      <x:c r="E17" s="159" t="n">
        <x:f>SUM(E10:E16)</x:f>
        <x:v>2</x:v>
      </x:c>
      <x:c r="F17" s="159" t="n">
        <x:f>SUM(F10:F16)</x:f>
        <x:v>2</x:v>
      </x:c>
      <x:c r="G17" s="159" t="n">
        <x:f>SUM(G10:G16)</x:f>
        <x:v>0</x:v>
      </x:c>
      <x:c r="H17" s="153" t="str">
        <x:v>—</x:v>
      </x:c>
    </x:row>
    <x:row r="19">
      <x:c r="A19" s="87" t="str">
        <x:v>结论与数据边界</x:v>
      </x:c>
      <x:c r="B19" s="87"/>
      <x:c r="C19" s="87"/>
      <x:c r="D19" s="87"/>
      <x:c r="E19" s="87"/>
      <x:c r="F19" s="87"/>
      <x:c r="G19" s="87"/>
      <x:c r="H19" s="87"/>
    </x:row>
    <x:row r="20" ht="28" customHeight="1">
      <x:c r="A20" s="129" t="str">
        <x:v>1. 最终数据范围：7家公司、26条事件、27条交易；数值校验失败项为0。</x:v>
      </x:c>
      <x:c r="B20" s="129"/>
      <x:c r="C20" s="129"/>
      <x:c r="D20" s="129"/>
      <x:c r="E20" s="129"/>
      <x:c r="F20" s="129"/>
      <x:c r="G20" s="129"/>
      <x:c r="H20" s="129"/>
    </x:row>
    <x:row r="21" ht="28" customHeight="1">
      <x:c r="A21" s="129" t="str">
        <x:v>2. 最终PE/VC结论仅采用“PEVC主体”和“PEVC路径”工作表中的2个基金主体及2条直接增资路径。</x:v>
      </x:c>
      <x:c r="B21" s="129"/>
      <x:c r="C21" s="129"/>
      <x:c r="D21" s="129"/>
      <x:c r="E21" s="129"/>
      <x:c r="F21" s="129"/>
      <x:c r="G21" s="129"/>
      <x:c r="H21" s="129"/>
    </x:row>
    <x:row r="22" ht="28" customHeight="1">
      <x:c r="A22" s="129" t="str">
        <x:v>3. 自动观察到的非PE/VC或战略投资者不作为最终PE/VC结论；相关自动观察仅保留在提交包audit目录。</x:v>
      </x:c>
      <x:c r="B22" s="129"/>
      <x:c r="C22" s="129"/>
      <x:c r="D22" s="129"/>
      <x:c r="E22" s="129"/>
      <x:c r="F22" s="129"/>
      <x:c r="G22" s="129"/>
      <x:c r="H22" s="129"/>
    </x:row>
    <x:row r="23" ht="28" customHeight="1">
      <x:c r="A23" s="129" t="str">
        <x:v>4. 股权比例与具体股东尚未建立稳定逐行对应，因此不强行生成股权结构快照。</x:v>
      </x:c>
      <x:c r="B23" s="129"/>
      <x:c r="C23" s="129"/>
      <x:c r="D23" s="129"/>
      <x:c r="E23" s="129"/>
      <x:c r="F23" s="129"/>
      <x:c r="G23" s="129"/>
      <x:c r="H23" s="129"/>
    </x:row>
    <x:row r="24" ht="28" customHeight="1">
      <x:c r="A24" s="129" t="str">
        <x:v>5. 未披露信息保持为空；两条招股书披露覆盖缺口按限制接受，不编造单事件。</x:v>
      </x:c>
      <x:c r="B24" s="129"/>
      <x:c r="C24" s="129"/>
      <x:c r="D24" s="129"/>
      <x:c r="E24" s="129"/>
      <x:c r="F24" s="129"/>
      <x:c r="G24" s="129"/>
      <x:c r="H24" s="129"/>
    </x:row>
    <x:row r="25" ht="28" customHeight="1">
      <x:c r="A25" s="129" t="str">
        <x:v>6. 用户已确认完成人工复核；19条复核记录均已填写人工状态，开放复核记录为0。</x:v>
      </x:c>
      <x:c r="B25" s="129"/>
      <x:c r="C25" s="129"/>
      <x:c r="D25" s="129"/>
      <x:c r="E25" s="129"/>
      <x:c r="F25" s="129"/>
      <x:c r="G25" s="129"/>
      <x:c r="H25" s="129"/>
    </x:row>
    <x:row r="26" ht="28" customHeight="1">
      <x:c r="A26" s="129" t="str">
        <x:v>7. 人工复核未新增未披露事实；无法可靠识别的主体、金额或比例继续保持为空。</x:v>
      </x:c>
      <x:c r="B26" s="129"/>
      <x:c r="C26" s="129"/>
      <x:c r="D26" s="129"/>
      <x:c r="E26" s="129"/>
      <x:c r="F26" s="129"/>
      <x:c r="G26" s="129"/>
      <x:c r="H26" s="129"/>
    </x:row>
  </x:sheetData>
  <x:mergeCells>
    <x:mergeCell ref="A1:H1"/>
    <x:mergeCell ref="A4:B4"/>
    <x:mergeCell ref="D4:E4"/>
    <x:mergeCell ref="A5:B5"/>
    <x:mergeCell ref="D5:E5"/>
    <x:mergeCell ref="A7:H7"/>
    <x:mergeCell ref="A17:B17"/>
    <x:mergeCell ref="A19:H19"/>
    <x:mergeCell ref="A20:H20"/>
    <x:mergeCell ref="A21:H21"/>
    <x:mergeCell ref="A22:H22"/>
    <x:mergeCell ref="A23:H23"/>
    <x:mergeCell ref="A24:H24"/>
    <x:mergeCell ref="A25:H25"/>
    <x:mergeCell ref="A26:H26"/>
  </x:mergeCells>
  <x:pageMargins left="0.7" right="0.7" top="0.75" bottom="0.75" header="0.3" footer="0.3"/>
  <x:drawing xmlns:r="http://schemas.openxmlformats.org/officeDocument/2006/relationships" r:id="Ra7e12b6d81e3480e"/>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103" t="str">
        <x:v>证券代码</x:v>
      </x:c>
      <x:c r="B1" s="104" t="str">
        <x:v>公司简称</x:v>
      </x:c>
      <x:c r="C1" s="104" t="str">
        <x:v>事件ID</x:v>
      </x:c>
      <x:c r="D1" s="104" t="str">
        <x:v>候选事件ID</x:v>
      </x:c>
      <x:c r="E1" s="104" t="str">
        <x:v>事件类型</x:v>
      </x:c>
      <x:c r="F1" s="104" t="str">
        <x:v>事件组</x:v>
      </x:c>
      <x:c r="G1" s="104" t="str">
        <x:v>事件期间</x:v>
      </x:c>
      <x:c r="H1" s="104" t="str">
        <x:v>事件标题</x:v>
      </x:c>
      <x:c r="I1" s="104" t="str">
        <x:v>PDF起始页</x:v>
      </x:c>
      <x:c r="J1" s="104" t="str">
        <x:v>PDF结束页</x:v>
      </x:c>
      <x:c r="K1" s="104" t="str">
        <x:v>正文起始页</x:v>
      </x:c>
      <x:c r="L1" s="104" t="str">
        <x:v>正文结束页</x:v>
      </x:c>
      <x:c r="M1" s="104" t="str">
        <x:v>主证据ID</x:v>
      </x:c>
      <x:c r="N1" s="104" t="str">
        <x:v>披露范围</x:v>
      </x:c>
      <x:c r="O1" s="104" t="str">
        <x:v>候选置信度</x:v>
      </x:c>
      <x:c r="P1" s="104" t="str">
        <x:v>抽取状态</x:v>
      </x:c>
      <x:c r="Q1" s="104" t="str">
        <x:v>是否复核</x:v>
      </x:c>
      <x:c r="R1" s="105" t="str">
        <x:v>复核原因</x:v>
      </x:c>
    </x:row>
    <x:row r="2" ht="30" customHeight="1">
      <x:c r="A2" s="197" t="n">
        <x:v>1282</x:v>
      </x:c>
      <x:c r="B2" s="164" t="str">
        <x:v>三联锻造</x:v>
      </x:c>
      <x:c r="C2" s="164" t="str">
        <x:v>EVT-001282-0001</x:v>
      </x:c>
      <x:c r="D2" s="164" t="str">
        <x:v>CE-001282-0001</x:v>
      </x:c>
      <x:c r="E2" s="164" t="str">
        <x:v>LIMITED_COMPANY_ESTABLISHMENT</x:v>
      </x:c>
      <x:c r="F2" s="164" t="str">
        <x:v>ESTABLISHMENT</x:v>
      </x:c>
      <x:c r="G2" s="164" t="str">
        <x:v>2004-06-18</x:v>
      </x:c>
      <x:c r="H2" s="164" t="str">
        <x:v>（一）有限公司设立情况</x:v>
      </x:c>
      <x:c r="I2" s="164" t="str">
        <x:v>30</x:v>
      </x:c>
      <x:c r="J2" s="164" t="str">
        <x:v>32</x:v>
      </x:c>
      <x:c r="K2" s="164" t="str">
        <x:v>29</x:v>
      </x:c>
      <x:c r="L2" s="164" t="str">
        <x:v>31</x:v>
      </x:c>
      <x:c r="M2" s="164" t="str">
        <x:v>EVD-001282-0001-01</x:v>
      </x:c>
      <x:c r="N2" s="164"/>
      <x:c r="O2" s="164"/>
      <x:c r="P2" s="164" t="str">
        <x:v>AUTO_STRUCTURED</x:v>
      </x:c>
      <x:c r="Q2" s="164" t="str">
        <x:v>False</x:v>
      </x:c>
      <x:c r="R2" s="165" t="str">
        <x:v>[]</x:v>
      </x:c>
    </x:row>
    <x:row r="3" ht="30" customHeight="1">
      <x:c r="A3" s="198" t="n">
        <x:v>1282</x:v>
      </x:c>
      <x:c r="B3" s="161" t="str">
        <x:v>三联锻造</x:v>
      </x:c>
      <x:c r="C3" s="161" t="str">
        <x:v>EVT-001282-0002</x:v>
      </x:c>
      <x:c r="D3" s="161" t="str">
        <x:v>CE-001282-0003</x:v>
      </x:c>
      <x:c r="E3" s="161" t="str">
        <x:v>OVERALL_CHANGE</x:v>
      </x:c>
      <x:c r="F3" s="161" t="str">
        <x:v>REORGANIZATION</x:v>
      </x:c>
      <x:c r="G3" s="161" t="str">
        <x:v>2018-11</x:v>
      </x:c>
      <x:c r="H3" s="161" t="str">
        <x:v>（二）股份公司设立情况</x:v>
      </x:c>
      <x:c r="I3" s="161" t="str">
        <x:v>32</x:v>
      </x:c>
      <x:c r="J3" s="161" t="str">
        <x:v>36</x:v>
      </x:c>
      <x:c r="K3" s="161" t="str">
        <x:v>31</x:v>
      </x:c>
      <x:c r="L3" s="161" t="str">
        <x:v>33</x:v>
      </x:c>
      <x:c r="M3" s="161" t="str">
        <x:v>EVD-001282-0003-01</x:v>
      </x:c>
      <x:c r="N3" s="161"/>
      <x:c r="O3" s="161"/>
      <x:c r="P3" s="161" t="str">
        <x:v>AUTO_STRUCTURED</x:v>
      </x:c>
      <x:c r="Q3" s="161" t="str">
        <x:v>False</x:v>
      </x:c>
      <x:c r="R3" s="167" t="str">
        <x:v>[]</x:v>
      </x:c>
    </x:row>
    <x:row r="4" ht="30" customHeight="1">
      <x:c r="A4" s="198" t="n">
        <x:v>1282</x:v>
      </x:c>
      <x:c r="B4" s="161" t="str">
        <x:v>三联锻造</x:v>
      </x:c>
      <x:c r="C4" s="161" t="str">
        <x:v>EVT-001282-0003</x:v>
      </x:c>
      <x:c r="D4" s="161" t="str">
        <x:v>CE-001282-0004</x:v>
      </x:c>
      <x:c r="E4" s="161" t="str">
        <x:v>CAPITAL_INCREASE</x:v>
      </x:c>
      <x:c r="F4" s="161" t="str">
        <x:v>CAPITAL_CHANGE</x:v>
      </x:c>
      <x:c r="G4" s="161" t="str">
        <x:v>2019-12</x:v>
      </x:c>
      <x:c r="H4" s="161" t="str">
        <x:v>2019 年 12 月，股份有限公司第一次增资</x:v>
      </x:c>
      <x:c r="I4" s="161" t="str">
        <x:v>35</x:v>
      </x:c>
      <x:c r="J4" s="161" t="str">
        <x:v>40</x:v>
      </x:c>
      <x:c r="K4" s="161" t="str">
        <x:v>34</x:v>
      </x:c>
      <x:c r="L4" s="161" t="str">
        <x:v>35</x:v>
      </x:c>
      <x:c r="M4" s="161" t="str">
        <x:v>EVD-001282-0004-01</x:v>
      </x:c>
      <x:c r="N4" s="161"/>
      <x:c r="O4" s="161"/>
      <x:c r="P4" s="161" t="str">
        <x:v>AUTO_STRUCTURED</x:v>
      </x:c>
      <x:c r="Q4" s="161" t="str">
        <x:v>False</x:v>
      </x:c>
      <x:c r="R4" s="167" t="str">
        <x:v>[]</x:v>
      </x:c>
    </x:row>
    <x:row r="5" ht="30" customHeight="1">
      <x:c r="A5" s="198" t="n">
        <x:v>301581</x:v>
      </x:c>
      <x:c r="B5" s="161" t="str">
        <x:v>黄山谷捷</x:v>
      </x:c>
      <x:c r="C5" s="161" t="str">
        <x:v>EVT-301581-0001</x:v>
      </x:c>
      <x:c r="D5" s="161" t="str">
        <x:v>CE-301581-0001</x:v>
      </x:c>
      <x:c r="E5" s="161" t="str">
        <x:v>LIMITED_COMPANY_ESTABLISHMENT</x:v>
      </x:c>
      <x:c r="F5" s="161" t="str">
        <x:v>ESTABLISHMENT</x:v>
      </x:c>
      <x:c r="G5" s="161" t="str">
        <x:v>2012-06</x:v>
      </x:c>
      <x:c r="H5" s="161" t="str">
        <x:v>2012-06，发行人前身设立</x:v>
      </x:c>
      <x:c r="I5" s="161" t="str">
        <x:v>41</x:v>
      </x:c>
      <x:c r="J5" s="161" t="str">
        <x:v>41</x:v>
      </x:c>
      <x:c r="K5" s="161" t="str">
        <x:v>1-1-40</x:v>
      </x:c>
      <x:c r="L5" s="161" t="str">
        <x:v>1-1-40</x:v>
      </x:c>
      <x:c r="M5" s="161" t="str">
        <x:v>EVD-301581-0001-01</x:v>
      </x:c>
      <x:c r="N5" s="161"/>
      <x:c r="O5" s="161"/>
      <x:c r="P5" s="161" t="str">
        <x:v>AUTO_STRUCTURED</x:v>
      </x:c>
      <x:c r="Q5" s="161" t="str">
        <x:v>False</x:v>
      </x:c>
      <x:c r="R5" s="167" t="str">
        <x:v>[]</x:v>
      </x:c>
    </x:row>
    <x:row r="6" ht="30" customHeight="1">
      <x:c r="A6" s="198" t="n">
        <x:v>301581</x:v>
      </x:c>
      <x:c r="B6" s="161" t="str">
        <x:v>黄山谷捷</x:v>
      </x:c>
      <x:c r="C6" s="161" t="str">
        <x:v>EVT-301581-0002</x:v>
      </x:c>
      <x:c r="D6" s="161" t="str">
        <x:v>CE-301581-0002</x:v>
      </x:c>
      <x:c r="E6" s="161" t="str">
        <x:v>ABSORPTION_MERGER</x:v>
      </x:c>
      <x:c r="F6" s="161" t="str">
        <x:v>REORGANIZATION</x:v>
      </x:c>
      <x:c r="G6" s="161" t="str">
        <x:v>2021-04</x:v>
      </x:c>
      <x:c r="H6" s="161" t="str">
        <x:v>2021年4月，吸收合并</x:v>
      </x:c>
      <x:c r="I6" s="161" t="str">
        <x:v>41</x:v>
      </x:c>
      <x:c r="J6" s="161" t="str">
        <x:v>44</x:v>
      </x:c>
      <x:c r="K6" s="161" t="str">
        <x:v>1-1-40</x:v>
      </x:c>
      <x:c r="L6" s="161" t="str">
        <x:v>1-1-40</x:v>
      </x:c>
      <x:c r="M6" s="161" t="str">
        <x:v>EVD-301581-0002-01</x:v>
      </x:c>
      <x:c r="N6" s="161"/>
      <x:c r="O6" s="161"/>
      <x:c r="P6" s="161" t="str">
        <x:v>AUTO_STRUCTURED</x:v>
      </x:c>
      <x:c r="Q6" s="161" t="str">
        <x:v>False</x:v>
      </x:c>
      <x:c r="R6" s="167" t="str">
        <x:v>[]</x:v>
      </x:c>
    </x:row>
    <x:row r="7" ht="30" customHeight="1">
      <x:c r="A7" s="198" t="n">
        <x:v>301581</x:v>
      </x:c>
      <x:c r="B7" s="161" t="str">
        <x:v>黄山谷捷</x:v>
      </x:c>
      <x:c r="C7" s="161" t="str">
        <x:v>EVT-301581-0003</x:v>
      </x:c>
      <x:c r="D7" s="161" t="str">
        <x:v>CE-301581-0003</x:v>
      </x:c>
      <x:c r="E7" s="161" t="str">
        <x:v>EQUITY_TRANSFER</x:v>
      </x:c>
      <x:c r="F7" s="161" t="str">
        <x:v>EQUITY_TRANSFER</x:v>
      </x:c>
      <x:c r="G7" s="161" t="str">
        <x:v>2021-04</x:v>
      </x:c>
      <x:c r="H7" s="161" t="str">
        <x:v>2、2021 年 4 月，第一次股权转让</x:v>
      </x:c>
      <x:c r="I7" s="161" t="str">
        <x:v>42</x:v>
      </x:c>
      <x:c r="J7" s="161" t="str">
        <x:v>43</x:v>
      </x:c>
      <x:c r="K7" s="161" t="str">
        <x:v>1-1-41</x:v>
      </x:c>
      <x:c r="L7" s="161" t="str">
        <x:v>1-1-42</x:v>
      </x:c>
      <x:c r="M7" s="161" t="str">
        <x:v>EVD-301581-0003-01</x:v>
      </x:c>
      <x:c r="N7" s="161"/>
      <x:c r="O7" s="161"/>
      <x:c r="P7" s="161" t="str">
        <x:v>AUTO_STRUCTURED</x:v>
      </x:c>
      <x:c r="Q7" s="161" t="str">
        <x:v>False</x:v>
      </x:c>
      <x:c r="R7" s="167" t="str">
        <x:v>[]</x:v>
      </x:c>
    </x:row>
    <x:row r="8" ht="30" customHeight="1">
      <x:c r="A8" s="198" t="n">
        <x:v>301581</x:v>
      </x:c>
      <x:c r="B8" s="161" t="str">
        <x:v>黄山谷捷</x:v>
      </x:c>
      <x:c r="C8" s="161" t="str">
        <x:v>EVT-301581-0004</x:v>
      </x:c>
      <x:c r="D8" s="161" t="str">
        <x:v>CE-301581-0004</x:v>
      </x:c>
      <x:c r="E8" s="161" t="str">
        <x:v>CAPITAL_INCREASE</x:v>
      </x:c>
      <x:c r="F8" s="161" t="str">
        <x:v>CAPITAL_CHANGE</x:v>
      </x:c>
      <x:c r="G8" s="161" t="str">
        <x:v>2021-11</x:v>
      </x:c>
      <x:c r="H8" s="161" t="str">
        <x:v>4、2021 年 11 月，第一次增资，增资至 1,714.2857 万元</x:v>
      </x:c>
      <x:c r="I8" s="161" t="str">
        <x:v>44</x:v>
      </x:c>
      <x:c r="J8" s="161" t="str">
        <x:v>45</x:v>
      </x:c>
      <x:c r="K8" s="161" t="str">
        <x:v>1-1-43</x:v>
      </x:c>
      <x:c r="L8" s="161" t="str">
        <x:v>1-1-44</x:v>
      </x:c>
      <x:c r="M8" s="161" t="str">
        <x:v>EVD-301581-0004-01</x:v>
      </x:c>
      <x:c r="N8" s="161"/>
      <x:c r="O8" s="161"/>
      <x:c r="P8" s="161" t="str">
        <x:v>AUTO_STRUCTURED</x:v>
      </x:c>
      <x:c r="Q8" s="161" t="str">
        <x:v>False</x:v>
      </x:c>
      <x:c r="R8" s="167" t="str">
        <x:v>[]</x:v>
      </x:c>
    </x:row>
    <x:row r="9" ht="30" customHeight="1">
      <x:c r="A9" s="198" t="n">
        <x:v>301581</x:v>
      </x:c>
      <x:c r="B9" s="161" t="str">
        <x:v>黄山谷捷</x:v>
      </x:c>
      <x:c r="C9" s="161" t="str">
        <x:v>EVT-301581-0005</x:v>
      </x:c>
      <x:c r="D9" s="161" t="str">
        <x:v>CE-301581-0005</x:v>
      </x:c>
      <x:c r="E9" s="161" t="str">
        <x:v>CAPITAL_INCREASE</x:v>
      </x:c>
      <x:c r="F9" s="161" t="str">
        <x:v>CAPITAL_CHANGE</x:v>
      </x:c>
      <x:c r="G9" s="161" t="str">
        <x:v>2022-05</x:v>
      </x:c>
      <x:c r="H9" s="161" t="str">
        <x:v>5、2022 年 5 月，第二次增资，增资至 1,804.5113 万元</x:v>
      </x:c>
      <x:c r="I9" s="161" t="str">
        <x:v>45</x:v>
      </x:c>
      <x:c r="J9" s="161" t="str">
        <x:v>45</x:v>
      </x:c>
      <x:c r="K9" s="161" t="str">
        <x:v>1-1-44</x:v>
      </x:c>
      <x:c r="L9" s="161" t="str">
        <x:v>1-1-44</x:v>
      </x:c>
      <x:c r="M9" s="161" t="str">
        <x:v>EVD-301581-0005-01</x:v>
      </x:c>
      <x:c r="N9" s="161"/>
      <x:c r="O9" s="161"/>
      <x:c r="P9" s="161" t="str">
        <x:v>AUTO_STRUCTURED</x:v>
      </x:c>
      <x:c r="Q9" s="161" t="str">
        <x:v>False</x:v>
      </x:c>
      <x:c r="R9" s="167" t="str">
        <x:v>[]</x:v>
      </x:c>
    </x:row>
    <x:row r="10" ht="30" customHeight="1">
      <x:c r="A10" s="198" t="n">
        <x:v>301581</x:v>
      </x:c>
      <x:c r="B10" s="161" t="str">
        <x:v>黄山谷捷</x:v>
      </x:c>
      <x:c r="C10" s="161" t="str">
        <x:v>EVT-301581-0006</x:v>
      </x:c>
      <x:c r="D10" s="161" t="str">
        <x:v>CE-301581-0006</x:v>
      </x:c>
      <x:c r="E10" s="161" t="str">
        <x:v>OVERALL_CHANGE</x:v>
      </x:c>
      <x:c r="F10" s="161" t="str">
        <x:v>REORGANIZATION</x:v>
      </x:c>
      <x:c r="G10" s="161" t="str">
        <x:v>2022-09</x:v>
      </x:c>
      <x:c r="H10" s="161" t="str">
        <x:v>2022 年 9 月，谷捷有限整体变更为股份公司，具体情况见本节之“二、发</x:v>
      </x:c>
      <x:c r="I10" s="161" t="str">
        <x:v>46</x:v>
      </x:c>
      <x:c r="J10" s="161" t="str">
        <x:v>46</x:v>
      </x:c>
      <x:c r="K10" s="161" t="str">
        <x:v>1-1-45</x:v>
      </x:c>
      <x:c r="L10" s="161" t="str">
        <x:v>1-1-45</x:v>
      </x:c>
      <x:c r="M10" s="161" t="str">
        <x:v>EVD-301581-0006-01</x:v>
      </x:c>
      <x:c r="N10" s="161"/>
      <x:c r="O10" s="161"/>
      <x:c r="P10" s="161" t="str">
        <x:v>AUTO_STRUCTURED</x:v>
      </x:c>
      <x:c r="Q10" s="161" t="str">
        <x:v>False</x:v>
      </x:c>
      <x:c r="R10" s="167" t="str">
        <x:v>[]</x:v>
      </x:c>
    </x:row>
    <x:row r="11" ht="30" customHeight="1">
      <x:c r="A11" s="198" t="n">
        <x:v>603418</x:v>
      </x:c>
      <x:c r="B11" s="161" t="str">
        <x:v>友升股份</x:v>
      </x:c>
      <x:c r="C11" s="161" t="str">
        <x:v>EVT-603418-0001</x:v>
      </x:c>
      <x:c r="D11" s="161" t="str">
        <x:v>CE-603418-0001</x:v>
      </x:c>
      <x:c r="E11" s="161" t="str">
        <x:v>LIMITED_COMPANY_ESTABLISHMENT</x:v>
      </x:c>
      <x:c r="F11" s="161" t="str">
        <x:v>ESTABLISHMENT</x:v>
      </x:c>
      <x:c r="G11" s="161" t="str">
        <x:v>1992-12-04</x:v>
      </x:c>
      <x:c r="H11" s="161" t="str">
        <x:v>（一）有限责任公司的设立情况</x:v>
      </x:c>
      <x:c r="I11" s="161" t="str">
        <x:v>41</x:v>
      </x:c>
      <x:c r="J11" s="161" t="str">
        <x:v>42</x:v>
      </x:c>
      <x:c r="K11" s="161" t="str">
        <x:v>40</x:v>
      </x:c>
      <x:c r="L11" s="161" t="str">
        <x:v>41</x:v>
      </x:c>
      <x:c r="M11" s="161" t="str">
        <x:v>EVD-603418-0001-01</x:v>
      </x:c>
      <x:c r="N11" s="161"/>
      <x:c r="O11" s="161"/>
      <x:c r="P11" s="161" t="str">
        <x:v>AUTO_STRUCTURED</x:v>
      </x:c>
      <x:c r="Q11" s="161" t="str">
        <x:v>False</x:v>
      </x:c>
      <x:c r="R11" s="167" t="str">
        <x:v>[]</x:v>
      </x:c>
    </x:row>
    <x:row r="12" ht="30" customHeight="1">
      <x:c r="A12" s="198" t="n">
        <x:v>603418</x:v>
      </x:c>
      <x:c r="B12" s="161" t="str">
        <x:v>友升股份</x:v>
      </x:c>
      <x:c r="C12" s="161" t="str">
        <x:v>EVT-603418-0002</x:v>
      </x:c>
      <x:c r="D12" s="161" t="str">
        <x:v>CE-603418-0003</x:v>
      </x:c>
      <x:c r="E12" s="161" t="str">
        <x:v>OVERALL_CHANGE</x:v>
      </x:c>
      <x:c r="F12" s="161" t="str">
        <x:v>REORGANIZATION</x:v>
      </x:c>
      <x:c r="G12" s="161" t="str">
        <x:v>2020-09-09</x:v>
      </x:c>
      <x:c r="H12" s="161" t="str">
        <x:v>（二）股份有限公司的设立情况</x:v>
      </x:c>
      <x:c r="I12" s="161" t="str">
        <x:v>42</x:v>
      </x:c>
      <x:c r="J12" s="161" t="str">
        <x:v>44</x:v>
      </x:c>
      <x:c r="K12" s="161" t="str">
        <x:v>41</x:v>
      </x:c>
      <x:c r="L12" s="161" t="str">
        <x:v>42</x:v>
      </x:c>
      <x:c r="M12" s="161" t="str">
        <x:v>EVD-603418-0003-01</x:v>
      </x:c>
      <x:c r="N12" s="161"/>
      <x:c r="O12" s="161"/>
      <x:c r="P12" s="161" t="str">
        <x:v>AUTO_STRUCTURED</x:v>
      </x:c>
      <x:c r="Q12" s="161" t="str">
        <x:v>False</x:v>
      </x:c>
      <x:c r="R12" s="167" t="str">
        <x:v>[]</x:v>
      </x:c>
    </x:row>
    <x:row r="13" ht="30" customHeight="1">
      <x:c r="A13" s="198" t="n">
        <x:v>603418</x:v>
      </x:c>
      <x:c r="B13" s="161" t="str">
        <x:v>友升股份</x:v>
      </x:c>
      <x:c r="C13" s="161" t="str">
        <x:v>EVT-603418-0003</x:v>
      </x:c>
      <x:c r="D13" s="161" t="str">
        <x:v>CE-603418-0004</x:v>
      </x:c>
      <x:c r="E13" s="161" t="str">
        <x:v>CAPITAL_INCREASE</x:v>
      </x:c>
      <x:c r="F13" s="161" t="str">
        <x:v>CAPITAL_CHANGE</x:v>
      </x:c>
      <x:c r="G13" s="161" t="str">
        <x:v>2020-09</x:v>
      </x:c>
      <x:c r="H13" s="161" t="str">
        <x:v>2020 年 9 月，金浦临港基金、金浦科创基金和上海骁墨与本次增资前公司</x:v>
      </x:c>
      <x:c r="I13" s="161" t="str">
        <x:v>44</x:v>
      </x:c>
      <x:c r="J13" s="161" t="str">
        <x:v>45</x:v>
      </x:c>
      <x:c r="K13" s="161" t="str">
        <x:v>43</x:v>
      </x:c>
      <x:c r="L13" s="161" t="str">
        <x:v>44</x:v>
      </x:c>
      <x:c r="M13" s="161" t="str">
        <x:v>EVD-603418-0004-01</x:v>
      </x:c>
      <x:c r="N13" s="161"/>
      <x:c r="O13" s="161"/>
      <x:c r="P13" s="161" t="str">
        <x:v>AUTO_STRUCTURED</x:v>
      </x:c>
      <x:c r="Q13" s="161" t="str">
        <x:v>False</x:v>
      </x:c>
      <x:c r="R13" s="167" t="str">
        <x:v>[]</x:v>
      </x:c>
    </x:row>
    <x:row r="14" ht="30" customHeight="1">
      <x:c r="A14" s="198" t="n">
        <x:v>603418</x:v>
      </x:c>
      <x:c r="B14" s="161" t="str">
        <x:v>友升股份</x:v>
      </x:c>
      <x:c r="C14" s="161" t="str">
        <x:v>EVT-603418-0004</x:v>
      </x:c>
      <x:c r="D14" s="161" t="str">
        <x:v>CE-603418-0005</x:v>
      </x:c>
      <x:c r="E14" s="161" t="str">
        <x:v>CAPITAL_INCREASE</x:v>
      </x:c>
      <x:c r="F14" s="161" t="str">
        <x:v>CAPITAL_CHANGE</x:v>
      </x:c>
      <x:c r="G14" s="161" t="str">
        <x:v>2022-12</x:v>
      </x:c>
      <x:c r="H14" s="161" t="str">
        <x:v>4、2022 年 12 月，增资至 14,480.1333 万元</x:v>
      </x:c>
      <x:c r="I14" s="161" t="str">
        <x:v>45</x:v>
      </x:c>
      <x:c r="J14" s="161" t="str">
        <x:v>46</x:v>
      </x:c>
      <x:c r="K14" s="161" t="str">
        <x:v>44</x:v>
      </x:c>
      <x:c r="L14" s="161" t="str">
        <x:v>45</x:v>
      </x:c>
      <x:c r="M14" s="161" t="str">
        <x:v>EVD-603418-0005-01</x:v>
      </x:c>
      <x:c r="N14" s="161"/>
      <x:c r="O14" s="161"/>
      <x:c r="P14" s="161" t="str">
        <x:v>AUTO_STRUCTURED</x:v>
      </x:c>
      <x:c r="Q14" s="161" t="str">
        <x:v>False</x:v>
      </x:c>
      <x:c r="R14" s="167" t="str">
        <x:v>[]</x:v>
      </x:c>
    </x:row>
    <x:row r="15" ht="30" customHeight="1">
      <x:c r="A15" s="198" t="n">
        <x:v>603418</x:v>
      </x:c>
      <x:c r="B15" s="161" t="str">
        <x:v>友升股份</x:v>
      </x:c>
      <x:c r="C15" s="161" t="str">
        <x:v>EVT-603418-0005</x:v>
      </x:c>
      <x:c r="D15" s="161" t="str">
        <x:v>CE-603418-0006</x:v>
      </x:c>
      <x:c r="E15" s="161" t="str">
        <x:v>EQUITY_HOLDING_PROXY</x:v>
      </x:c>
      <x:c r="F15" s="161" t="str">
        <x:v>EQUITY_HOLDING_PROXY</x:v>
      </x:c>
      <x:c r="G15" s="161" t="str"/>
      <x:c r="H15" s="161" t="str">
        <x:v>（五）发行人历史沿革中存在股份代持的情况</x:v>
      </x:c>
      <x:c r="I15" s="161" t="str">
        <x:v>47</x:v>
      </x:c>
      <x:c r="J15" s="161" t="str">
        <x:v>47</x:v>
      </x:c>
      <x:c r="K15" s="161" t="str">
        <x:v>46</x:v>
      </x:c>
      <x:c r="L15" s="161" t="str">
        <x:v>46</x:v>
      </x:c>
      <x:c r="M15" s="161" t="str">
        <x:v>EVD-603418-0006-01</x:v>
      </x:c>
      <x:c r="N15" s="161"/>
      <x:c r="O15" s="161"/>
      <x:c r="P15" s="161" t="str">
        <x:v>AUTO_STRUCTURED</x:v>
      </x:c>
      <x:c r="Q15" s="161" t="str">
        <x:v>False</x:v>
      </x:c>
      <x:c r="R15" s="167" t="str">
        <x:v>[]</x:v>
      </x:c>
    </x:row>
    <x:row r="16" ht="30" customHeight="1">
      <x:c r="A16" s="198" t="n">
        <x:v>688758</x:v>
      </x:c>
      <x:c r="B16" s="161" t="str">
        <x:v>赛分科技</x:v>
      </x:c>
      <x:c r="C16" s="161" t="str">
        <x:v>EVT-688758-0001</x:v>
      </x:c>
      <x:c r="D16" s="161" t="str">
        <x:v>CE-688758-0001</x:v>
      </x:c>
      <x:c r="E16" s="161" t="str">
        <x:v>LIMITED_COMPANY_ESTABLISHMENT</x:v>
      </x:c>
      <x:c r="F16" s="161" t="str">
        <x:v>ESTABLISHMENT</x:v>
      </x:c>
      <x:c r="G16" s="161" t="str">
        <x:v>2009-01-23</x:v>
      </x:c>
      <x:c r="H16" s="161" t="str">
        <x:v>（一）公司前身赛分有限的设立情况</x:v>
      </x:c>
      <x:c r="I16" s="161" t="str">
        <x:v>50</x:v>
      </x:c>
      <x:c r="J16" s="161" t="str">
        <x:v>51</x:v>
      </x:c>
      <x:c r="K16" s="161" t="str">
        <x:v>1-1-49</x:v>
      </x:c>
      <x:c r="L16" s="161" t="str">
        <x:v>1-1-50</x:v>
      </x:c>
      <x:c r="M16" s="161" t="str">
        <x:v>EVD-688758-0001-01</x:v>
      </x:c>
      <x:c r="N16" s="161"/>
      <x:c r="O16" s="161"/>
      <x:c r="P16" s="161" t="str">
        <x:v>AUTO_STRUCTURED</x:v>
      </x:c>
      <x:c r="Q16" s="161" t="str">
        <x:v>False</x:v>
      </x:c>
      <x:c r="R16" s="167" t="str">
        <x:v>[]</x:v>
      </x:c>
    </x:row>
    <x:row r="17" ht="30" customHeight="1">
      <x:c r="A17" s="198" t="n">
        <x:v>688758</x:v>
      </x:c>
      <x:c r="B17" s="161" t="str">
        <x:v>赛分科技</x:v>
      </x:c>
      <x:c r="C17" s="161" t="str">
        <x:v>EVT-688758-0002</x:v>
      </x:c>
      <x:c r="D17" s="161" t="str">
        <x:v>CE-688758-0002</x:v>
      </x:c>
      <x:c r="E17" s="161" t="str">
        <x:v>OVERALL_CHANGE</x:v>
      </x:c>
      <x:c r="F17" s="161" t="str">
        <x:v>REORGANIZATION</x:v>
      </x:c>
      <x:c r="G17" s="161" t="str">
        <x:v>2021-09-16</x:v>
      </x:c>
      <x:c r="H17" s="161" t="str">
        <x:v>（二）股份公司的设立情况</x:v>
      </x:c>
      <x:c r="I17" s="161" t="str">
        <x:v>51</x:v>
      </x:c>
      <x:c r="J17" s="161" t="str">
        <x:v>59</x:v>
      </x:c>
      <x:c r="K17" s="161" t="str">
        <x:v>1-1-50</x:v>
      </x:c>
      <x:c r="L17" s="161" t="str">
        <x:v>1-1-52</x:v>
      </x:c>
      <x:c r="M17" s="161" t="str">
        <x:v>EVD-688758-0002-01</x:v>
      </x:c>
      <x:c r="N17" s="161"/>
      <x:c r="O17" s="161"/>
      <x:c r="P17" s="161" t="str">
        <x:v>AUTO_STRUCTURED</x:v>
      </x:c>
      <x:c r="Q17" s="161" t="str">
        <x:v>False</x:v>
      </x:c>
      <x:c r="R17" s="167" t="str">
        <x:v>[]</x:v>
      </x:c>
    </x:row>
    <x:row r="18" ht="30" customHeight="1">
      <x:c r="A18" s="198" t="n">
        <x:v>688758</x:v>
      </x:c>
      <x:c r="B18" s="161" t="str">
        <x:v>赛分科技</x:v>
      </x:c>
      <x:c r="C18" s="161" t="str">
        <x:v>EVT-688758-0003</x:v>
      </x:c>
      <x:c r="D18" s="161" t="str">
        <x:v>CE-688758-0003</x:v>
      </x:c>
      <x:c r="E18" s="161" t="str">
        <x:v>EQUITY_TRANSFER</x:v>
      </x:c>
      <x:c r="F18" s="161" t="str">
        <x:v>EQUITY_TRANSFER</x:v>
      </x:c>
      <x:c r="G18" s="161" t="str">
        <x:v>2021-04</x:v>
      </x:c>
      <x:c r="H18" s="161" t="str">
        <x:v>1、2021 年 4 月，报告期内第一次股权转让及第一次增资</x:v>
      </x:c>
      <x:c r="I18" s="161" t="str">
        <x:v>55</x:v>
      </x:c>
      <x:c r="J18" s="161" t="str">
        <x:v>56</x:v>
      </x:c>
      <x:c r="K18" s="161" t="str">
        <x:v>1-1-54</x:v>
      </x:c>
      <x:c r="L18" s="161" t="str">
        <x:v>1-1-55</x:v>
      </x:c>
      <x:c r="M18" s="161" t="str">
        <x:v>EVD-688758-0003-01</x:v>
      </x:c>
      <x:c r="N18" s="161"/>
      <x:c r="O18" s="161"/>
      <x:c r="P18" s="161" t="str">
        <x:v>AUTO_STRUCTURED</x:v>
      </x:c>
      <x:c r="Q18" s="161" t="str">
        <x:v>False</x:v>
      </x:c>
      <x:c r="R18" s="167" t="str">
        <x:v>[]</x:v>
      </x:c>
    </x:row>
    <x:row r="19" ht="30" customHeight="1">
      <x:c r="A19" s="198" t="n">
        <x:v>688758</x:v>
      </x:c>
      <x:c r="B19" s="161" t="str">
        <x:v>赛分科技</x:v>
      </x:c>
      <x:c r="C19" s="161" t="str">
        <x:v>EVT-688758-0004</x:v>
      </x:c>
      <x:c r="D19" s="161" t="str">
        <x:v>CE-688758-0004</x:v>
      </x:c>
      <x:c r="E19" s="161" t="str">
        <x:v>EQUITY_TRANSFER</x:v>
      </x:c>
      <x:c r="F19" s="161" t="str">
        <x:v>EQUITY_TRANSFER</x:v>
      </x:c>
      <x:c r="G19" s="161" t="str">
        <x:v>2021-08</x:v>
      </x:c>
      <x:c r="H19" s="161" t="str">
        <x:v>2、2021 年 8 月，报告期内第二次股权转让</x:v>
      </x:c>
      <x:c r="I19" s="161" t="str">
        <x:v>57</x:v>
      </x:c>
      <x:c r="J19" s="161" t="str">
        <x:v>58</x:v>
      </x:c>
      <x:c r="K19" s="161" t="str">
        <x:v>1-1-56</x:v>
      </x:c>
      <x:c r="L19" s="161" t="str">
        <x:v>1-1-57</x:v>
      </x:c>
      <x:c r="M19" s="161" t="str">
        <x:v>EVD-688758-0004-01</x:v>
      </x:c>
      <x:c r="N19" s="161"/>
      <x:c r="O19" s="161"/>
      <x:c r="P19" s="161" t="str">
        <x:v>AUTO_STRUCTURED</x:v>
      </x:c>
      <x:c r="Q19" s="161" t="str">
        <x:v>False</x:v>
      </x:c>
      <x:c r="R19" s="167" t="str">
        <x:v>[]</x:v>
      </x:c>
    </x:row>
    <x:row r="20" ht="30" customHeight="1">
      <x:c r="A20" s="198" t="n">
        <x:v>688758</x:v>
      </x:c>
      <x:c r="B20" s="161" t="str">
        <x:v>赛分科技</x:v>
      </x:c>
      <x:c r="C20" s="161" t="str">
        <x:v>EVT-688758-0005</x:v>
      </x:c>
      <x:c r="D20" s="161" t="str">
        <x:v>CE-688758-0005</x:v>
      </x:c>
      <x:c r="E20" s="161" t="str">
        <x:v>CAPITAL_INCREASE</x:v>
      </x:c>
      <x:c r="F20" s="161" t="str">
        <x:v>CAPITAL_CHANGE</x:v>
      </x:c>
      <x:c r="G20" s="161" t="str">
        <x:v>2021-11</x:v>
      </x:c>
      <x:c r="H20" s="161" t="str">
        <x:v>4、2021 年 11 月，报告期内第二次增资</x:v>
      </x:c>
      <x:c r="I20" s="161" t="str">
        <x:v>59</x:v>
      </x:c>
      <x:c r="J20" s="161" t="str">
        <x:v>59</x:v>
      </x:c>
      <x:c r="K20" s="161" t="str">
        <x:v>1-1-58</x:v>
      </x:c>
      <x:c r="L20" s="161" t="str">
        <x:v>1-1-58</x:v>
      </x:c>
      <x:c r="M20" s="161" t="str">
        <x:v>EVD-688758-0005-01</x:v>
      </x:c>
      <x:c r="N20" s="161"/>
      <x:c r="O20" s="161"/>
      <x:c r="P20" s="161" t="str">
        <x:v>AUTO_STRUCTURED</x:v>
      </x:c>
      <x:c r="Q20" s="161" t="str">
        <x:v>False</x:v>
      </x:c>
      <x:c r="R20" s="167" t="str">
        <x:v>[]</x:v>
      </x:c>
    </x:row>
    <x:row r="21" ht="30" customHeight="1">
      <x:c r="A21" s="198" t="n">
        <x:v>688758</x:v>
      </x:c>
      <x:c r="B21" s="161" t="str">
        <x:v>赛分科技</x:v>
      </x:c>
      <x:c r="C21" s="161" t="str">
        <x:v>EVT-688758-0006</x:v>
      </x:c>
      <x:c r="D21" s="161" t="str">
        <x:v>CE-688758-0006</x:v>
      </x:c>
      <x:c r="E21" s="161" t="str">
        <x:v>CAPITAL_INCREASE</x:v>
      </x:c>
      <x:c r="F21" s="161" t="str">
        <x:v>CAPITAL_CHANGE</x:v>
      </x:c>
      <x:c r="G21" s="161" t="str">
        <x:v>2021-12</x:v>
      </x:c>
      <x:c r="H21" s="161" t="str">
        <x:v>5、2021 年 12 月，报告期内第三次增资</x:v>
      </x:c>
      <x:c r="I21" s="161" t="str">
        <x:v>60</x:v>
      </x:c>
      <x:c r="J21" s="161" t="str">
        <x:v>62</x:v>
      </x:c>
      <x:c r="K21" s="161" t="str">
        <x:v>1-1-59</x:v>
      </x:c>
      <x:c r="L21" s="161" t="str">
        <x:v>1-1-61</x:v>
      </x:c>
      <x:c r="M21" s="161" t="str">
        <x:v>EVD-688758-0006-01</x:v>
      </x:c>
      <x:c r="N21" s="161"/>
      <x:c r="O21" s="161"/>
      <x:c r="P21" s="161" t="str">
        <x:v>AUTO_STRUCTURED</x:v>
      </x:c>
      <x:c r="Q21" s="161" t="str">
        <x:v>False</x:v>
      </x:c>
      <x:c r="R21" s="167" t="str">
        <x:v>[]</x:v>
      </x:c>
    </x:row>
    <x:row r="22" ht="30" customHeight="1">
      <x:c r="A22" s="198" t="n">
        <x:v>688758</x:v>
      </x:c>
      <x:c r="B22" s="161" t="str">
        <x:v>赛分科技</x:v>
      </x:c>
      <x:c r="C22" s="161" t="str">
        <x:v>EVT-688758-0007</x:v>
      </x:c>
      <x:c r="D22" s="161" t="str">
        <x:v>CE-688758-0007</x:v>
      </x:c>
      <x:c r="E22" s="161" t="str">
        <x:v>SHARE_CAPITAL_CHANGE</x:v>
      </x:c>
      <x:c r="F22" s="161" t="str">
        <x:v>CAPITAL_CHANGE</x:v>
      </x:c>
      <x:c r="G22" s="161" t="str">
        <x:v>2021-12</x:v>
      </x:c>
      <x:c r="H22" s="161" t="str">
        <x:v>6、2021 年 12 月，报告期内第一次资本公积转增股本</x:v>
      </x:c>
      <x:c r="I22" s="161" t="str">
        <x:v>62</x:v>
      </x:c>
      <x:c r="J22" s="161" t="str">
        <x:v>64</x:v>
      </x:c>
      <x:c r="K22" s="161" t="str">
        <x:v>1-1-61</x:v>
      </x:c>
      <x:c r="L22" s="161" t="str">
        <x:v>1-1-63</x:v>
      </x:c>
      <x:c r="M22" s="161" t="str">
        <x:v>EVD-688758-0007-01</x:v>
      </x:c>
      <x:c r="N22" s="161"/>
      <x:c r="O22" s="161"/>
      <x:c r="P22" s="161" t="str">
        <x:v>AUTO_STRUCTURED</x:v>
      </x:c>
      <x:c r="Q22" s="161" t="str">
        <x:v>False</x:v>
      </x:c>
      <x:c r="R22" s="167" t="str">
        <x:v>[]</x:v>
      </x:c>
    </x:row>
    <x:row r="23" ht="30" customHeight="1">
      <x:c r="A23" s="198" t="n">
        <x:v>688775</x:v>
      </x:c>
      <x:c r="B23" s="161" t="str">
        <x:v>影石创新</x:v>
      </x:c>
      <x:c r="C23" s="161" t="str">
        <x:v>EVT-688775-0001</x:v>
      </x:c>
      <x:c r="D23" s="161" t="str">
        <x:v>CE-688775-0001</x:v>
      </x:c>
      <x:c r="E23" s="161" t="str">
        <x:v>LIMITED_COMPANY_ESTABLISHMENT</x:v>
      </x:c>
      <x:c r="F23" s="161" t="str">
        <x:v>ESTABLISHMENT</x:v>
      </x:c>
      <x:c r="G23" s="161" t="str">
        <x:v>2015-07-09</x:v>
      </x:c>
      <x:c r="H23" s="161" t="str">
        <x:v>1、有限公司设立情况</x:v>
      </x:c>
      <x:c r="I23" s="161" t="str">
        <x:v>62</x:v>
      </x:c>
      <x:c r="J23" s="161" t="str">
        <x:v>63</x:v>
      </x:c>
      <x:c r="K23" s="161" t="str">
        <x:v>1-1-62</x:v>
      </x:c>
      <x:c r="L23" s="161" t="str">
        <x:v>1-1-63</x:v>
      </x:c>
      <x:c r="M23" s="161" t="str">
        <x:v>EVD-688775-0001-01</x:v>
      </x:c>
      <x:c r="N23" s="161"/>
      <x:c r="O23" s="161"/>
      <x:c r="P23" s="161" t="str">
        <x:v>AUTO_STRUCTURED</x:v>
      </x:c>
      <x:c r="Q23" s="161" t="str">
        <x:v>False</x:v>
      </x:c>
      <x:c r="R23" s="167" t="str">
        <x:v>[]</x:v>
      </x:c>
    </x:row>
    <x:row r="24" ht="30" customHeight="1">
      <x:c r="A24" s="198" t="n">
        <x:v>688775</x:v>
      </x:c>
      <x:c r="B24" s="161" t="str">
        <x:v>影石创新</x:v>
      </x:c>
      <x:c r="C24" s="161" t="str">
        <x:v>EVT-688775-0002</x:v>
      </x:c>
      <x:c r="D24" s="161" t="str">
        <x:v>CE-688775-0002</x:v>
      </x:c>
      <x:c r="E24" s="161" t="str">
        <x:v>OVERALL_CHANGE</x:v>
      </x:c>
      <x:c r="F24" s="161" t="str">
        <x:v>REORGANIZATION</x:v>
      </x:c>
      <x:c r="G24" s="161" t="str">
        <x:v>2020-02-26</x:v>
      </x:c>
      <x:c r="H24" s="161" t="str">
        <x:v>2、股份公司设立情况</x:v>
      </x:c>
      <x:c r="I24" s="161" t="str">
        <x:v>63</x:v>
      </x:c>
      <x:c r="J24" s="161" t="str">
        <x:v>64</x:v>
      </x:c>
      <x:c r="K24" s="161" t="str">
        <x:v>1-1-63</x:v>
      </x:c>
      <x:c r="L24" s="161" t="str">
        <x:v>1-1-64</x:v>
      </x:c>
      <x:c r="M24" s="161" t="str">
        <x:v>EVD-688775-0002-01</x:v>
      </x:c>
      <x:c r="N24" s="161"/>
      <x:c r="O24" s="161"/>
      <x:c r="P24" s="161" t="str">
        <x:v>AUTO_STRUCTURED</x:v>
      </x:c>
      <x:c r="Q24" s="161" t="str">
        <x:v>False</x:v>
      </x:c>
      <x:c r="R24" s="167" t="str">
        <x:v>[]</x:v>
      </x:c>
    </x:row>
    <x:row r="25" ht="30" customHeight="1">
      <x:c r="A25" s="198" t="n">
        <x:v>688775</x:v>
      </x:c>
      <x:c r="B25" s="161" t="str">
        <x:v>影石创新</x:v>
      </x:c>
      <x:c r="C25" s="161" t="str">
        <x:v>EVT-688775-0003</x:v>
      </x:c>
      <x:c r="D25" s="161" t="str">
        <x:v>CE-688775-0003</x:v>
      </x:c>
      <x:c r="E25" s="161" t="str">
        <x:v>EQUITY_TRANSFER</x:v>
      </x:c>
      <x:c r="F25" s="161" t="str">
        <x:v>EQUITY_TRANSFER</x:v>
      </x:c>
      <x:c r="G25" s="161" t="str">
        <x:v>2023-03</x:v>
      </x:c>
      <x:c r="H25" s="161" t="str">
        <x:v>1、2023 年 3 月，股份公司第一次股权转让</x:v>
      </x:c>
      <x:c r="I25" s="161" t="str">
        <x:v>65</x:v>
      </x:c>
      <x:c r="J25" s="161" t="str">
        <x:v>66</x:v>
      </x:c>
      <x:c r="K25" s="161" t="str">
        <x:v>1-1-65</x:v>
      </x:c>
      <x:c r="L25" s="161" t="str">
        <x:v>1-1-66</x:v>
      </x:c>
      <x:c r="M25" s="161" t="str">
        <x:v>EVD-688775-0003-01</x:v>
      </x:c>
      <x:c r="N25" s="161"/>
      <x:c r="O25" s="161"/>
      <x:c r="P25" s="161" t="str">
        <x:v>AUTO_STRUCTURED</x:v>
      </x:c>
      <x:c r="Q25" s="161" t="str">
        <x:v>False</x:v>
      </x:c>
      <x:c r="R25" s="167" t="str">
        <x:v>[]</x:v>
      </x:c>
    </x:row>
    <x:row r="26" ht="30" customHeight="1">
      <x:c r="A26" s="198" t="n">
        <x:v>920100</x:v>
      </x:c>
      <x:c r="B26" s="161" t="str">
        <x:v>三协电机</x:v>
      </x:c>
      <x:c r="C26" s="161" t="str">
        <x:v>EVT-920100-0001</x:v>
      </x:c>
      <x:c r="D26" s="161" t="str">
        <x:v>CE-920100-0001</x:v>
      </x:c>
      <x:c r="E26" s="161" t="str">
        <x:v>EQUITY_HOLDING_PROXY_RELEASE</x:v>
      </x:c>
      <x:c r="F26" s="161" t="str">
        <x:v>EQUITY_HOLDING_PROXY</x:v>
      </x:c>
      <x:c r="G26" s="161" t="str">
        <x:v>2021-03</x:v>
      </x:c>
      <x:c r="H26" s="161" t="str">
        <x:v>2021 年 3 月，上述股权代持已解除， 涉及代持各方不存在纠纷或潜在纠纷， 上述股权代持情况</x:v>
      </x:c>
      <x:c r="I26" s="161" t="str">
        <x:v>39</x:v>
      </x:c>
      <x:c r="J26" s="161" t="str">
        <x:v>39</x:v>
      </x:c>
      <x:c r="K26" s="161" t="str">
        <x:v>1-1-39</x:v>
      </x:c>
      <x:c r="L26" s="161" t="str">
        <x:v>1-1-39</x:v>
      </x:c>
      <x:c r="M26" s="161" t="str">
        <x:v>EVD-920100-0001-01</x:v>
      </x:c>
      <x:c r="N26" s="161"/>
      <x:c r="O26" s="161"/>
      <x:c r="P26" s="161" t="str">
        <x:v>AUTO_STRUCTURED</x:v>
      </x:c>
      <x:c r="Q26" s="161" t="str">
        <x:v>False</x:v>
      </x:c>
      <x:c r="R26" s="167" t="str">
        <x:v>[]</x:v>
      </x:c>
    </x:row>
    <x:row r="27" ht="30" customHeight="1">
      <x:c r="A27" s="199" t="n">
        <x:v>920116</x:v>
      </x:c>
      <x:c r="B27" s="169" t="str">
        <x:v>星图测控</x:v>
      </x:c>
      <x:c r="C27" s="169" t="str">
        <x:v>EVT-920116-0001</x:v>
      </x:c>
      <x:c r="D27" s="169" t="str">
        <x:v>CE-920116-0001</x:v>
      </x:c>
      <x:c r="E27" s="169" t="str">
        <x:v>LISTING_OR_DIRECTIONAL_FINANCING</x:v>
      </x:c>
      <x:c r="F27" s="169" t="str">
        <x:v>FINANCING</x:v>
      </x:c>
      <x:c r="G27" s="169" t="str">
        <x:v>2023-05-16</x:v>
      </x:c>
      <x:c r="H27" s="169" t="str">
        <x:v>2023 年 5 月 16 日，公司在全国股转系统网站发布《股票定向发行新增股份在全国</x:v>
      </x:c>
      <x:c r="I27" s="169" t="str">
        <x:v>35</x:v>
      </x:c>
      <x:c r="J27" s="169" t="str">
        <x:v>36</x:v>
      </x:c>
      <x:c r="K27" s="169" t="str">
        <x:v>1-1-35</x:v>
      </x:c>
      <x:c r="L27" s="169" t="str">
        <x:v>1-1-36</x:v>
      </x:c>
      <x:c r="M27" s="169" t="str">
        <x:v>EVD-920116-0001-01</x:v>
      </x:c>
      <x:c r="N27" s="169"/>
      <x:c r="O27" s="169"/>
      <x:c r="P27" s="169" t="str">
        <x:v>AUTO_STRUCTURED_WITH_REVIEW</x:v>
      </x:c>
      <x:c r="Q27" s="169" t="str">
        <x:v>True</x:v>
      </x:c>
      <x:c r="R27" s="170" t="str">
        <x:v>["事件来源属于部分披露范围"]</x:v>
      </x:c>
    </x:row>
  </x:sheetData>
  <x:conditionalFormatting sqref="P2:P27">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tableParts count="1">
    <x:tablePart xmlns:r="http://schemas.openxmlformats.org/officeDocument/2006/relationships" r:id="Rc07b0fe3df69441b"/>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103" t="str">
        <x:v>证券代码</x:v>
      </x:c>
      <x:c r="B1" s="104" t="str">
        <x:v>公司简称</x:v>
      </x:c>
      <x:c r="C1" s="104" t="str">
        <x:v>交易ID</x:v>
      </x:c>
      <x:c r="D1" s="104" t="str">
        <x:v>事件ID</x:v>
      </x:c>
      <x:c r="E1" s="104" t="str">
        <x:v>交易类型</x:v>
      </x:c>
      <x:c r="F1" s="104" t="str">
        <x:v>交易日期</x:v>
      </x:c>
      <x:c r="G1" s="104" t="str">
        <x:v>日期角色</x:v>
      </x:c>
      <x:c r="H1" s="104" t="str">
        <x:v>转让方ID</x:v>
      </x:c>
      <x:c r="I1" s="104" t="str">
        <x:v>受让方ID</x:v>
      </x:c>
      <x:c r="J1" s="104" t="str">
        <x:v>投资方ID</x:v>
      </x:c>
      <x:c r="K1" s="104" t="str">
        <x:v>被吸收方ID</x:v>
      </x:c>
      <x:c r="L1" s="104" t="str">
        <x:v>增资前注册资本事实ID</x:v>
      </x:c>
      <x:c r="M1" s="104" t="str">
        <x:v>增资后注册资本事实ID</x:v>
      </x:c>
      <x:c r="N1" s="104" t="str">
        <x:v>增资额事实ID</x:v>
      </x:c>
      <x:c r="O1" s="104" t="str">
        <x:v>对价事实ID</x:v>
      </x:c>
      <x:c r="P1" s="104" t="str">
        <x:v>股数事实ID</x:v>
      </x:c>
      <x:c r="Q1" s="104" t="str">
        <x:v>价格事实ID</x:v>
      </x:c>
      <x:c r="R1" s="104" t="str">
        <x:v>持股比例事实ID</x:v>
      </x:c>
      <x:c r="S1" s="104" t="str">
        <x:v>交易状态</x:v>
      </x:c>
      <x:c r="T1" s="104" t="str">
        <x:v>是否复核</x:v>
      </x:c>
      <x:c r="U1" s="105" t="str">
        <x:v>复核原因</x:v>
      </x:c>
    </x:row>
    <x:row r="2" ht="30" customHeight="1">
      <x:c r="A2" s="197" t="n">
        <x:v>1282</x:v>
      </x:c>
      <x:c r="B2" s="164" t="str">
        <x:v>三联锻造</x:v>
      </x:c>
      <x:c r="C2" s="164" t="str">
        <x:v>TRX-001282-0001-01</x:v>
      </x:c>
      <x:c r="D2" s="164" t="str">
        <x:v>EVT-001282-0001</x:v>
      </x:c>
      <x:c r="E2" s="164" t="str">
        <x:v>ESTABLISHMENT</x:v>
      </x:c>
      <x:c r="F2" s="164" t="str">
        <x:v>2004-06-18</x:v>
      </x:c>
      <x:c r="G2" s="164" t="str">
        <x:v>registration_date</x:v>
      </x:c>
      <x:c r="H2" s="164" t="str">
        <x:v>[]</x:v>
      </x:c>
      <x:c r="I2" s="164" t="str">
        <x:v>[]</x:v>
      </x:c>
      <x:c r="J2" s="164" t="str">
        <x:v>[]</x:v>
      </x:c>
      <x:c r="K2" s="164" t="str">
        <x:v>[]</x:v>
      </x:c>
      <x:c r="L2" s="164" t="str">
        <x:v>[]</x:v>
      </x:c>
      <x:c r="M2" s="164" t="str">
        <x:v>[]</x:v>
      </x:c>
      <x:c r="N2" s="164" t="str">
        <x:v>[]</x:v>
      </x:c>
      <x:c r="O2" s="164" t="str">
        <x:v>[]</x:v>
      </x:c>
      <x:c r="P2" s="164" t="str">
        <x:v>["NUM-001282-00002"]</x:v>
      </x:c>
      <x:c r="Q2" s="164" t="str">
        <x:v>[]</x:v>
      </x:c>
      <x:c r="R2" s="164" t="str">
        <x:v>["NUM-001282-00003", "NUM-001282-00004"]</x:v>
      </x:c>
      <x:c r="S2" s="164" t="str">
        <x:v>AUTO_STRUCTURED</x:v>
      </x:c>
      <x:c r="T2" s="164" t="str">
        <x:v>False</x:v>
      </x:c>
      <x:c r="U2" s="165" t="str">
        <x:v>[]</x:v>
      </x:c>
    </x:row>
    <x:row r="3" ht="30" customHeight="1">
      <x:c r="A3" s="198" t="n">
        <x:v>1282</x:v>
      </x:c>
      <x:c r="B3" s="161" t="str">
        <x:v>三联锻造</x:v>
      </x:c>
      <x:c r="C3" s="161" t="str">
        <x:v>TRX-001282-0002-01</x:v>
      </x:c>
      <x:c r="D3" s="161" t="str">
        <x:v>EVT-001282-0002</x:v>
      </x:c>
      <x:c r="E3" s="161" t="str">
        <x:v>OVERALL_CHANGE</x:v>
      </x:c>
      <x:c r="F3" s="161" t="str">
        <x:v>2018-11-26</x:v>
      </x:c>
      <x:c r="G3" s="161" t="str">
        <x:v>event_period</x:v>
      </x:c>
      <x:c r="H3" s="161" t="str">
        <x:v>[]</x:v>
      </x:c>
      <x:c r="I3" s="161" t="str">
        <x:v>[]</x:v>
      </x:c>
      <x:c r="J3" s="161" t="str">
        <x:v>["PTY-001282-00001"]</x:v>
      </x:c>
      <x:c r="K3" s="161" t="str">
        <x:v>[]</x:v>
      </x:c>
      <x:c r="L3" s="161" t="str">
        <x:v>["NUM-001282-00004"]</x:v>
      </x:c>
      <x:c r="M3" s="161" t="str">
        <x:v>["NUM-001282-00005"]</x:v>
      </x:c>
      <x:c r="N3" s="161" t="str">
        <x:v>[]</x:v>
      </x:c>
      <x:c r="O3" s="161" t="str">
        <x:v>[]</x:v>
      </x:c>
      <x:c r="P3" s="161" t="str">
        <x:v>["NUM-001282-00002", "NUM-001282-00003"]</x:v>
      </x:c>
      <x:c r="Q3" s="161" t="str">
        <x:v>["NUM-001282-00006"]</x:v>
      </x:c>
      <x:c r="R3" s="161" t="str">
        <x:v>[]</x:v>
      </x:c>
      <x:c r="S3" s="161" t="str">
        <x:v>AUTO_STRUCTURED</x:v>
      </x:c>
      <x:c r="T3" s="161" t="str">
        <x:v>False</x:v>
      </x:c>
      <x:c r="U3" s="167" t="str">
        <x:v>[]</x:v>
      </x:c>
    </x:row>
    <x:row r="4" ht="30" customHeight="1">
      <x:c r="A4" s="198" t="n">
        <x:v>1282</x:v>
      </x:c>
      <x:c r="B4" s="161" t="str">
        <x:v>三联锻造</x:v>
      </x:c>
      <x:c r="C4" s="161" t="str">
        <x:v>TRX-001282-0003-01</x:v>
      </x:c>
      <x:c r="D4" s="161" t="str">
        <x:v>EVT-001282-0003</x:v>
      </x:c>
      <x:c r="E4" s="161" t="str">
        <x:v>CAPITAL_INCREASE</x:v>
      </x:c>
      <x:c r="F4" s="161" t="str">
        <x:v>2019-12</x:v>
      </x:c>
      <x:c r="G4" s="161" t="str">
        <x:v>event_period</x:v>
      </x:c>
      <x:c r="H4" s="161" t="str">
        <x:v>[]</x:v>
      </x:c>
      <x:c r="I4" s="161" t="str">
        <x:v>[]</x:v>
      </x:c>
      <x:c r="J4" s="161" t="str">
        <x:v>["PTY-001282-00001"]</x:v>
      </x:c>
      <x:c r="K4" s="161" t="str">
        <x:v>[]</x:v>
      </x:c>
      <x:c r="L4" s="161" t="str">
        <x:v>["NUM-001282-00001"]</x:v>
      </x:c>
      <x:c r="M4" s="161" t="str">
        <x:v>["NUM-001282-00002"]</x:v>
      </x:c>
      <x:c r="N4" s="161" t="str">
        <x:v>[]</x:v>
      </x:c>
      <x:c r="O4" s="161" t="str">
        <x:v>[]</x:v>
      </x:c>
      <x:c r="P4" s="161" t="str">
        <x:v>["NUM-001282-00003"]</x:v>
      </x:c>
      <x:c r="Q4" s="161" t="str">
        <x:v>["NUM-001282-00004"]</x:v>
      </x:c>
      <x:c r="R4" s="161" t="str">
        <x:v>[]</x:v>
      </x:c>
      <x:c r="S4" s="161" t="str">
        <x:v>AUTO_STRUCTURED</x:v>
      </x:c>
      <x:c r="T4" s="161" t="str">
        <x:v>False</x:v>
      </x:c>
      <x:c r="U4" s="167" t="str">
        <x:v>[]</x:v>
      </x:c>
    </x:row>
    <x:row r="5" ht="30" customHeight="1">
      <x:c r="A5" s="198" t="n">
        <x:v>301581</x:v>
      </x:c>
      <x:c r="B5" s="161" t="str">
        <x:v>黄山谷捷</x:v>
      </x:c>
      <x:c r="C5" s="161" t="str">
        <x:v>TRX-301581-0001-01</x:v>
      </x:c>
      <x:c r="D5" s="161" t="str">
        <x:v>EVT-301581-0001</x:v>
      </x:c>
      <x:c r="E5" s="161" t="str">
        <x:v>ESTABLISHMENT</x:v>
      </x:c>
      <x:c r="F5" s="161" t="str">
        <x:v>2012-06</x:v>
      </x:c>
      <x:c r="G5" s="161" t="str">
        <x:v>event_period</x:v>
      </x:c>
      <x:c r="H5" s="161" t="str">
        <x:v>[]</x:v>
      </x:c>
      <x:c r="I5" s="161" t="str">
        <x:v>[]</x:v>
      </x:c>
      <x:c r="J5" s="161" t="str">
        <x:v>["PTY-301581-00001"]</x:v>
      </x:c>
      <x:c r="K5" s="161" t="str">
        <x:v>[]</x:v>
      </x:c>
      <x:c r="L5" s="161" t="str">
        <x:v>[]</x:v>
      </x:c>
      <x:c r="M5" s="161" t="str">
        <x:v>[]</x:v>
      </x:c>
      <x:c r="N5" s="161" t="str">
        <x:v>[]</x:v>
      </x:c>
      <x:c r="O5" s="161" t="str">
        <x:v>[]</x:v>
      </x:c>
      <x:c r="P5" s="161" t="str">
        <x:v>[]</x:v>
      </x:c>
      <x:c r="Q5" s="161" t="str">
        <x:v>[]</x:v>
      </x:c>
      <x:c r="R5" s="161" t="str">
        <x:v>["NUM-301581-00002", "NUM-301581-00003"]</x:v>
      </x:c>
      <x:c r="S5" s="161" t="str">
        <x:v>AUTO_STRUCTURED</x:v>
      </x:c>
      <x:c r="T5" s="161" t="str">
        <x:v>False</x:v>
      </x:c>
      <x:c r="U5" s="167" t="str">
        <x:v>[]</x:v>
      </x:c>
    </x:row>
    <x:row r="6" ht="30" customHeight="1">
      <x:c r="A6" s="198" t="n">
        <x:v>301581</x:v>
      </x:c>
      <x:c r="B6" s="161" t="str">
        <x:v>黄山谷捷</x:v>
      </x:c>
      <x:c r="C6" s="161" t="str">
        <x:v>TRX-301581-0002-01</x:v>
      </x:c>
      <x:c r="D6" s="161" t="str">
        <x:v>EVT-301581-0002</x:v>
      </x:c>
      <x:c r="E6" s="161" t="str">
        <x:v>ABSORPTION_MERGER</x:v>
      </x:c>
      <x:c r="F6" s="161" t="str">
        <x:v>2021-04</x:v>
      </x:c>
      <x:c r="G6" s="161" t="str">
        <x:v>event_period</x:v>
      </x:c>
      <x:c r="H6" s="161" t="str">
        <x:v>[]</x:v>
      </x:c>
      <x:c r="I6" s="161" t="str">
        <x:v>[]</x:v>
      </x:c>
      <x:c r="J6" s="161" t="str">
        <x:v>[]</x:v>
      </x:c>
      <x:c r="K6" s="161" t="str">
        <x:v>["PTY-301581-00001", "PTY-301581-00002", "PTY-301581-00003", "PTY-301581-00004", "PTY-301581-00005"]</x:v>
      </x:c>
      <x:c r="L6" s="161" t="str">
        <x:v>[]</x:v>
      </x:c>
      <x:c r="M6" s="161" t="str">
        <x:v>[]</x:v>
      </x:c>
      <x:c r="N6" s="161" t="str">
        <x:v>[]</x:v>
      </x:c>
      <x:c r="O6" s="161" t="str">
        <x:v>[]</x:v>
      </x:c>
      <x:c r="P6" s="161" t="str">
        <x:v>[]</x:v>
      </x:c>
      <x:c r="Q6" s="161" t="str">
        <x:v>[]</x:v>
      </x:c>
      <x:c r="R6" s="161" t="str">
        <x:v>["NUM-301581-00001", "NUM-301581-00002", "NUM-301581-00003", "NUM-301581-00004", "NUM-301581-00005", "NUM-301581-00006", "NUM-301581-00007", "NUM-301581-00008"]</x:v>
      </x:c>
      <x:c r="S6" s="161" t="str">
        <x:v>AUTO_STRUCTURED</x:v>
      </x:c>
      <x:c r="T6" s="161" t="str">
        <x:v>False</x:v>
      </x:c>
      <x:c r="U6" s="167" t="str">
        <x:v>[]</x:v>
      </x:c>
    </x:row>
    <x:row r="7" ht="30" customHeight="1">
      <x:c r="A7" s="198" t="n">
        <x:v>301581</x:v>
      </x:c>
      <x:c r="B7" s="161" t="str">
        <x:v>黄山谷捷</x:v>
      </x:c>
      <x:c r="C7" s="161" t="str">
        <x:v>TRX-301581-0003-01</x:v>
      </x:c>
      <x:c r="D7" s="161" t="str">
        <x:v>EVT-301581-0003</x:v>
      </x:c>
      <x:c r="E7" s="161" t="str">
        <x:v>EQUITY_TRANSFER</x:v>
      </x:c>
      <x:c r="F7" s="161" t="str">
        <x:v>2021-04</x:v>
      </x:c>
      <x:c r="G7" s="161" t="str">
        <x:v>event_period</x:v>
      </x:c>
      <x:c r="H7" s="161" t="str">
        <x:v>[]</x:v>
      </x:c>
      <x:c r="I7" s="161" t="str">
        <x:v>[]</x:v>
      </x:c>
      <x:c r="J7" s="161" t="str">
        <x:v>[]</x:v>
      </x:c>
      <x:c r="K7" s="161" t="str">
        <x:v>[]</x:v>
      </x:c>
      <x:c r="L7" s="161" t="str">
        <x:v>[]</x:v>
      </x:c>
      <x:c r="M7" s="161" t="str">
        <x:v>[]</x:v>
      </x:c>
      <x:c r="N7" s="161" t="str">
        <x:v>[]</x:v>
      </x:c>
      <x:c r="O7" s="161" t="str">
        <x:v>[]</x:v>
      </x:c>
      <x:c r="P7" s="161" t="str">
        <x:v>["NUM-301581-00001"]</x:v>
      </x:c>
      <x:c r="Q7" s="161" t="str">
        <x:v>[]</x:v>
      </x:c>
      <x:c r="R7" s="161" t="str">
        <x:v>["NUM-301581-00002", "NUM-301581-00003"]</x:v>
      </x:c>
      <x:c r="S7" s="161" t="str">
        <x:v>AUTO_STRUCTURED_WITH_REVIEW</x:v>
      </x:c>
      <x:c r="T7" s="161" t="str">
        <x:v>True</x:v>
      </x:c>
      <x:c r="U7" s="167" t="str">
        <x:v>["股权转让未抽取到转让方", "股权转让未抽取到受让方"]</x:v>
      </x:c>
    </x:row>
    <x:row r="8" ht="30" customHeight="1">
      <x:c r="A8" s="198" t="n">
        <x:v>301581</x:v>
      </x:c>
      <x:c r="B8" s="161" t="str">
        <x:v>黄山谷捷</x:v>
      </x:c>
      <x:c r="C8" s="161" t="str">
        <x:v>TRX-301581-0004-01</x:v>
      </x:c>
      <x:c r="D8" s="161" t="str">
        <x:v>EVT-301581-0004</x:v>
      </x:c>
      <x:c r="E8" s="161" t="str">
        <x:v>CAPITAL_INCREASE</x:v>
      </x:c>
      <x:c r="F8" s="161" t="str">
        <x:v>2021-11</x:v>
      </x:c>
      <x:c r="G8" s="161" t="str">
        <x:v>event_period</x:v>
      </x:c>
      <x:c r="H8" s="161" t="str">
        <x:v>[]</x:v>
      </x:c>
      <x:c r="I8" s="161" t="str">
        <x:v>[]</x:v>
      </x:c>
      <x:c r="J8" s="161" t="str">
        <x:v>[]</x:v>
      </x:c>
      <x:c r="K8" s="161" t="str">
        <x:v>[]</x:v>
      </x:c>
      <x:c r="L8" s="161" t="str">
        <x:v>[]</x:v>
      </x:c>
      <x:c r="M8" s="161" t="str">
        <x:v>[]</x:v>
      </x:c>
      <x:c r="N8" s="161" t="str">
        <x:v>["NUM-301581-00002"]</x:v>
      </x:c>
      <x:c r="O8" s="161" t="str">
        <x:v>[]</x:v>
      </x:c>
      <x:c r="P8" s="161" t="str">
        <x:v>[]</x:v>
      </x:c>
      <x:c r="Q8" s="161" t="str">
        <x:v>[]</x:v>
      </x:c>
      <x:c r="R8" s="161" t="str">
        <x:v>[]</x:v>
      </x:c>
      <x:c r="S8" s="161" t="str">
        <x:v>AUTO_STRUCTURED</x:v>
      </x:c>
      <x:c r="T8" s="161" t="str">
        <x:v>False</x:v>
      </x:c>
      <x:c r="U8" s="167" t="str">
        <x:v>[]</x:v>
      </x:c>
    </x:row>
    <x:row r="9" ht="30" customHeight="1">
      <x:c r="A9" s="198" t="n">
        <x:v>301581</x:v>
      </x:c>
      <x:c r="B9" s="161" t="str">
        <x:v>黄山谷捷</x:v>
      </x:c>
      <x:c r="C9" s="161" t="str">
        <x:v>TRX-301581-0005-01</x:v>
      </x:c>
      <x:c r="D9" s="161" t="str">
        <x:v>EVT-301581-0005</x:v>
      </x:c>
      <x:c r="E9" s="161" t="str">
        <x:v>CAPITAL_INCREASE</x:v>
      </x:c>
      <x:c r="F9" s="161" t="str">
        <x:v>2022-05</x:v>
      </x:c>
      <x:c r="G9" s="161" t="str">
        <x:v>event_period</x:v>
      </x:c>
      <x:c r="H9" s="161" t="str">
        <x:v>[]</x:v>
      </x:c>
      <x:c r="I9" s="161" t="str">
        <x:v>[]</x:v>
      </x:c>
      <x:c r="J9" s="161" t="str">
        <x:v>[]</x:v>
      </x:c>
      <x:c r="K9" s="161" t="str">
        <x:v>[]</x:v>
      </x:c>
      <x:c r="L9" s="161" t="str">
        <x:v>["NUM-301581-00001"]</x:v>
      </x:c>
      <x:c r="M9" s="161" t="str">
        <x:v>["NUM-301581-00002"]</x:v>
      </x:c>
      <x:c r="N9" s="161" t="str">
        <x:v>["NUM-301581-00004"]</x:v>
      </x:c>
      <x:c r="O9" s="161" t="str">
        <x:v>[]</x:v>
      </x:c>
      <x:c r="P9" s="161" t="str">
        <x:v>[]</x:v>
      </x:c>
      <x:c r="Q9" s="161" t="str">
        <x:v>[]</x:v>
      </x:c>
      <x:c r="R9" s="161" t="str">
        <x:v>[]</x:v>
      </x:c>
      <x:c r="S9" s="161" t="str">
        <x:v>AUTO_STRUCTURED</x:v>
      </x:c>
      <x:c r="T9" s="161" t="str">
        <x:v>False</x:v>
      </x:c>
      <x:c r="U9" s="167" t="str">
        <x:v>[]</x:v>
      </x:c>
    </x:row>
    <x:row r="10" ht="30" customHeight="1">
      <x:c r="A10" s="198" t="n">
        <x:v>301581</x:v>
      </x:c>
      <x:c r="B10" s="161" t="str">
        <x:v>黄山谷捷</x:v>
      </x:c>
      <x:c r="C10" s="161" t="str">
        <x:v>TRX-301581-0006-01</x:v>
      </x:c>
      <x:c r="D10" s="161" t="str">
        <x:v>EVT-301581-0006</x:v>
      </x:c>
      <x:c r="E10" s="161" t="str">
        <x:v>OVERALL_CHANGE</x:v>
      </x:c>
      <x:c r="F10" s="161" t="str">
        <x:v>2022-09</x:v>
      </x:c>
      <x:c r="G10" s="161" t="str">
        <x:v>event_period</x:v>
      </x:c>
      <x:c r="H10" s="161" t="str">
        <x:v>[]</x:v>
      </x:c>
      <x:c r="I10" s="161" t="str">
        <x:v>[]</x:v>
      </x:c>
      <x:c r="J10" s="161" t="str">
        <x:v>[]</x:v>
      </x:c>
      <x:c r="K10" s="161" t="str">
        <x:v>[]</x:v>
      </x:c>
      <x:c r="L10" s="161" t="str">
        <x:v>[]</x:v>
      </x:c>
      <x:c r="M10" s="161" t="str">
        <x:v>[]</x:v>
      </x:c>
      <x:c r="N10" s="161" t="str">
        <x:v>[]</x:v>
      </x:c>
      <x:c r="O10" s="161" t="str">
        <x:v>[]</x:v>
      </x:c>
      <x:c r="P10" s="161" t="str">
        <x:v>[]</x:v>
      </x:c>
      <x:c r="Q10" s="161" t="str">
        <x:v>[]</x:v>
      </x:c>
      <x:c r="R10" s="161" t="str">
        <x:v>[]</x:v>
      </x:c>
      <x:c r="S10" s="161" t="str">
        <x:v>AUTO_STRUCTURED_WITH_REVIEW</x:v>
      </x:c>
      <x:c r="T10" s="161" t="str">
        <x:v>True</x:v>
      </x:c>
      <x:c r="U10" s="167" t="str">
        <x:v>["整体变更未抽取到注册资本、折股数或净资产"]</x:v>
      </x:c>
    </x:row>
    <x:row r="11" ht="30" customHeight="1">
      <x:c r="A11" s="198" t="n">
        <x:v>603418</x:v>
      </x:c>
      <x:c r="B11" s="161" t="str">
        <x:v>友升股份</x:v>
      </x:c>
      <x:c r="C11" s="161" t="str">
        <x:v>TRX-603418-0001-01</x:v>
      </x:c>
      <x:c r="D11" s="161" t="str">
        <x:v>EVT-603418-0001</x:v>
      </x:c>
      <x:c r="E11" s="161" t="str">
        <x:v>ESTABLISHMENT</x:v>
      </x:c>
      <x:c r="F11" s="161" t="str">
        <x:v>1992-12-04</x:v>
      </x:c>
      <x:c r="G11" s="161" t="str">
        <x:v>registration_date</x:v>
      </x:c>
      <x:c r="H11" s="161" t="str">
        <x:v>[]</x:v>
      </x:c>
      <x:c r="I11" s="161" t="str">
        <x:v>[]</x:v>
      </x:c>
      <x:c r="J11" s="161" t="str">
        <x:v>["PTY-603418-00001", "PTY-603418-00002"]</x:v>
      </x:c>
      <x:c r="K11" s="161" t="str">
        <x:v>[]</x:v>
      </x:c>
      <x:c r="L11" s="161" t="str">
        <x:v>[]</x:v>
      </x:c>
      <x:c r="M11" s="161" t="str">
        <x:v>[]</x:v>
      </x:c>
      <x:c r="N11" s="161" t="str">
        <x:v>[]</x:v>
      </x:c>
      <x:c r="O11" s="161" t="str">
        <x:v>[]</x:v>
      </x:c>
      <x:c r="P11" s="161" t="str">
        <x:v>[]</x:v>
      </x:c>
      <x:c r="Q11" s="161" t="str">
        <x:v>[]</x:v>
      </x:c>
      <x:c r="R11" s="161" t="str">
        <x:v>["NUM-603418-00001", "NUM-603418-00002", "NUM-603418-00003"]</x:v>
      </x:c>
      <x:c r="S11" s="161" t="str">
        <x:v>AUTO_STRUCTURED</x:v>
      </x:c>
      <x:c r="T11" s="161" t="str">
        <x:v>False</x:v>
      </x:c>
      <x:c r="U11" s="167" t="str">
        <x:v>[]</x:v>
      </x:c>
    </x:row>
    <x:row r="12" ht="30" customHeight="1">
      <x:c r="A12" s="198" t="n">
        <x:v>603418</x:v>
      </x:c>
      <x:c r="B12" s="161" t="str">
        <x:v>友升股份</x:v>
      </x:c>
      <x:c r="C12" s="161" t="str">
        <x:v>TRX-603418-0002-01</x:v>
      </x:c>
      <x:c r="D12" s="161" t="str">
        <x:v>EVT-603418-0002</x:v>
      </x:c>
      <x:c r="E12" s="161" t="str">
        <x:v>OVERALL_CHANGE</x:v>
      </x:c>
      <x:c r="F12" s="161" t="str">
        <x:v>2020-09-09</x:v>
      </x:c>
      <x:c r="G12" s="161" t="str">
        <x:v>registration_date</x:v>
      </x:c>
      <x:c r="H12" s="161" t="str">
        <x:v>[]</x:v>
      </x:c>
      <x:c r="I12" s="161" t="str">
        <x:v>[]</x:v>
      </x:c>
      <x:c r="J12" s="161" t="str">
        <x:v>[]</x:v>
      </x:c>
      <x:c r="K12" s="161" t="str">
        <x:v>[]</x:v>
      </x:c>
      <x:c r="L12" s="161" t="str">
        <x:v>[]</x:v>
      </x:c>
      <x:c r="M12" s="161" t="str">
        <x:v>[]</x:v>
      </x:c>
      <x:c r="N12" s="161" t="str">
        <x:v>[]</x:v>
      </x:c>
      <x:c r="O12" s="161" t="str">
        <x:v>[]</x:v>
      </x:c>
      <x:c r="P12" s="161" t="str">
        <x:v>["NUM-603418-00009"]</x:v>
      </x:c>
      <x:c r="Q12" s="161" t="str">
        <x:v>[]</x:v>
      </x:c>
      <x:c r="R12" s="161" t="str">
        <x:v>["NUM-603418-00001", "NUM-603418-00002", "NUM-603418-00003", "NUM-603418-00004", "NUM-603418-00005"]</x:v>
      </x:c>
      <x:c r="S12" s="161" t="str">
        <x:v>AUTO_STRUCTURED</x:v>
      </x:c>
      <x:c r="T12" s="161" t="str">
        <x:v>False</x:v>
      </x:c>
      <x:c r="U12" s="167" t="str">
        <x:v>[]</x:v>
      </x:c>
    </x:row>
    <x:row r="13" ht="30" customHeight="1">
      <x:c r="A13" s="198" t="n">
        <x:v>603418</x:v>
      </x:c>
      <x:c r="B13" s="161" t="str">
        <x:v>友升股份</x:v>
      </x:c>
      <x:c r="C13" s="161" t="str">
        <x:v>TRX-603418-0003-01</x:v>
      </x:c>
      <x:c r="D13" s="161" t="str">
        <x:v>EVT-603418-0003</x:v>
      </x:c>
      <x:c r="E13" s="161" t="str">
        <x:v>CAPITAL_INCREASE</x:v>
      </x:c>
      <x:c r="F13" s="161" t="str">
        <x:v>2020-09</x:v>
      </x:c>
      <x:c r="G13" s="161" t="str">
        <x:v>event_period</x:v>
      </x:c>
      <x:c r="H13" s="161" t="str">
        <x:v>[]</x:v>
      </x:c>
      <x:c r="I13" s="161" t="str">
        <x:v>[]</x:v>
      </x:c>
      <x:c r="J13" s="161" t="str">
        <x:v>[]</x:v>
      </x:c>
      <x:c r="K13" s="161" t="str">
        <x:v>[]</x:v>
      </x:c>
      <x:c r="L13" s="161" t="str">
        <x:v>[]</x:v>
      </x:c>
      <x:c r="M13" s="161" t="str">
        <x:v>[]</x:v>
      </x:c>
      <x:c r="N13" s="161" t="str">
        <x:v>["NUM-603418-00002"]</x:v>
      </x:c>
      <x:c r="O13" s="161" t="str">
        <x:v>[]</x:v>
      </x:c>
      <x:c r="P13" s="161" t="str">
        <x:v>[]</x:v>
      </x:c>
      <x:c r="Q13" s="161" t="str">
        <x:v>[]</x:v>
      </x:c>
      <x:c r="R13" s="161" t="str">
        <x:v>["NUM-603418-00003", "NUM-603418-00004", "NUM-603418-00005", "NUM-603418-00006", "NUM-603418-00007", "NUM-603418-00008", "NUM-603418-00009", "NUM-603418-00010"]</x:v>
      </x:c>
      <x:c r="S13" s="161" t="str">
        <x:v>AUTO_STRUCTURED</x:v>
      </x:c>
      <x:c r="T13" s="161" t="str">
        <x:v>False</x:v>
      </x:c>
      <x:c r="U13" s="167" t="str">
        <x:v>[]</x:v>
      </x:c>
    </x:row>
    <x:row r="14" ht="30" customHeight="1">
      <x:c r="A14" s="198" t="n">
        <x:v>603418</x:v>
      </x:c>
      <x:c r="B14" s="161" t="str">
        <x:v>友升股份</x:v>
      </x:c>
      <x:c r="C14" s="161" t="str">
        <x:v>TRX-603418-0004-01</x:v>
      </x:c>
      <x:c r="D14" s="161" t="str">
        <x:v>EVT-603418-0004</x:v>
      </x:c>
      <x:c r="E14" s="161" t="str">
        <x:v>CAPITAL_INCREASE</x:v>
      </x:c>
      <x:c r="F14" s="161" t="str">
        <x:v>2022-12</x:v>
      </x:c>
      <x:c r="G14" s="161" t="str">
        <x:v>event_period</x:v>
      </x:c>
      <x:c r="H14" s="161" t="str">
        <x:v>[]</x:v>
      </x:c>
      <x:c r="I14" s="161" t="str">
        <x:v>[]</x:v>
      </x:c>
      <x:c r="J14" s="161" t="str">
        <x:v>["PTY-603418-00001", "PTY-603418-00002"]</x:v>
      </x:c>
      <x:c r="K14" s="161" t="str">
        <x:v>[]</x:v>
      </x:c>
      <x:c r="L14" s="161" t="str">
        <x:v>[]</x:v>
      </x:c>
      <x:c r="M14" s="161" t="str">
        <x:v>[]</x:v>
      </x:c>
      <x:c r="N14" s="161" t="str">
        <x:v>[]</x:v>
      </x:c>
      <x:c r="O14" s="161" t="str">
        <x:v>[]</x:v>
      </x:c>
      <x:c r="P14" s="161" t="str">
        <x:v>[]</x:v>
      </x:c>
      <x:c r="Q14" s="161" t="str">
        <x:v>[]</x:v>
      </x:c>
      <x:c r="R14" s="161" t="str">
        <x:v>["NUM-603418-00001", "NUM-603418-00002", "NUM-603418-00003", "NUM-603418-00004", "NUM-603418-00005", "NUM-603418-00006", "NUM-603418-00007", "NUM-603418-00008", "NUM-603418-00009", "NUM-603418-00010", "NUM-603418-00011", "NUM-603418-00012", "NUM-603418-00013", "NUM-603418-00014", "NUM-603418-00015", "NUM-603418-00016"]</x:v>
      </x:c>
      <x:c r="S14" s="161" t="str">
        <x:v>AUTO_STRUCTURED_WITH_REVIEW</x:v>
      </x:c>
      <x:c r="T14" s="161" t="str">
        <x:v>True</x:v>
      </x:c>
      <x:c r="U14" s="167" t="str">
        <x:v>["增资或发行未抽取到金额、注册资本或股份数量"]</x:v>
      </x:c>
    </x:row>
    <x:row r="15" ht="30" customHeight="1">
      <x:c r="A15" s="198" t="n">
        <x:v>603418</x:v>
      </x:c>
      <x:c r="B15" s="161" t="str">
        <x:v>友升股份</x:v>
      </x:c>
      <x:c r="C15" s="161" t="str">
        <x:v>TRX-603418-0005-01</x:v>
      </x:c>
      <x:c r="D15" s="161" t="str">
        <x:v>EVT-603418-0005</x:v>
      </x:c>
      <x:c r="E15" s="161" t="str">
        <x:v>EQUITY_HOLDING_PROXY</x:v>
      </x:c>
      <x:c r="F15" s="161" t="str"/>
      <x:c r="G15" s="161" t="str"/>
      <x:c r="H15" s="161" t="str">
        <x:v>[]</x:v>
      </x:c>
      <x:c r="I15" s="161" t="str">
        <x:v>[]</x:v>
      </x:c>
      <x:c r="J15" s="161" t="str">
        <x:v>[]</x:v>
      </x:c>
      <x:c r="K15" s="161" t="str">
        <x:v>[]</x:v>
      </x:c>
      <x:c r="L15" s="161" t="str">
        <x:v>[]</x:v>
      </x:c>
      <x:c r="M15" s="161" t="str">
        <x:v>[]</x:v>
      </x:c>
      <x:c r="N15" s="161" t="str">
        <x:v>[]</x:v>
      </x:c>
      <x:c r="O15" s="161" t="str">
        <x:v>[]</x:v>
      </x:c>
      <x:c r="P15" s="161" t="str">
        <x:v>[]</x:v>
      </x:c>
      <x:c r="Q15" s="161" t="str">
        <x:v>[]</x:v>
      </x:c>
      <x:c r="R15" s="161" t="str">
        <x:v>[]</x:v>
      </x:c>
      <x:c r="S15" s="161" t="str">
        <x:v>AUTO_STRUCTURED</x:v>
      </x:c>
      <x:c r="T15" s="161" t="str">
        <x:v>False</x:v>
      </x:c>
      <x:c r="U15" s="167" t="str">
        <x:v>[]</x:v>
      </x:c>
    </x:row>
    <x:row r="16" ht="30" customHeight="1">
      <x:c r="A16" s="198" t="n">
        <x:v>688758</x:v>
      </x:c>
      <x:c r="B16" s="161" t="str">
        <x:v>赛分科技</x:v>
      </x:c>
      <x:c r="C16" s="161" t="str">
        <x:v>TRX-688758-0001-01</x:v>
      </x:c>
      <x:c r="D16" s="161" t="str">
        <x:v>EVT-688758-0001</x:v>
      </x:c>
      <x:c r="E16" s="161" t="str">
        <x:v>ESTABLISHMENT</x:v>
      </x:c>
      <x:c r="F16" s="161" t="str">
        <x:v>2009-01-23</x:v>
      </x:c>
      <x:c r="G16" s="161" t="str">
        <x:v>registration_date</x:v>
      </x:c>
      <x:c r="H16" s="161" t="str">
        <x:v>[]</x:v>
      </x:c>
      <x:c r="I16" s="161" t="str">
        <x:v>[]</x:v>
      </x:c>
      <x:c r="J16" s="161" t="str">
        <x:v>[]</x:v>
      </x:c>
      <x:c r="K16" s="161" t="str">
        <x:v>[]</x:v>
      </x:c>
      <x:c r="L16" s="161" t="str">
        <x:v>[]</x:v>
      </x:c>
      <x:c r="M16" s="161" t="str">
        <x:v>[]</x:v>
      </x:c>
      <x:c r="N16" s="161" t="str">
        <x:v>[]</x:v>
      </x:c>
      <x:c r="O16" s="161" t="str">
        <x:v>[]</x:v>
      </x:c>
      <x:c r="P16" s="161" t="str">
        <x:v>[]</x:v>
      </x:c>
      <x:c r="Q16" s="161" t="str">
        <x:v>[]</x:v>
      </x:c>
      <x:c r="R16" s="161" t="str">
        <x:v>[]</x:v>
      </x:c>
      <x:c r="S16" s="161" t="str">
        <x:v>AUTO_STRUCTURED</x:v>
      </x:c>
      <x:c r="T16" s="161" t="str">
        <x:v>False</x:v>
      </x:c>
      <x:c r="U16" s="167" t="str">
        <x:v>[]</x:v>
      </x:c>
    </x:row>
    <x:row r="17" ht="30" customHeight="1">
      <x:c r="A17" s="198" t="n">
        <x:v>688758</x:v>
      </x:c>
      <x:c r="B17" s="161" t="str">
        <x:v>赛分科技</x:v>
      </x:c>
      <x:c r="C17" s="161" t="str">
        <x:v>TRX-688758-0002-01</x:v>
      </x:c>
      <x:c r="D17" s="161" t="str">
        <x:v>EVT-688758-0002</x:v>
      </x:c>
      <x:c r="E17" s="161" t="str">
        <x:v>OVERALL_CHANGE</x:v>
      </x:c>
      <x:c r="F17" s="161" t="str">
        <x:v>2021-09-16</x:v>
      </x:c>
      <x:c r="G17" s="161" t="str">
        <x:v>effective_date</x:v>
      </x:c>
      <x:c r="H17" s="161" t="str">
        <x:v>[]</x:v>
      </x:c>
      <x:c r="I17" s="161" t="str">
        <x:v>[]</x:v>
      </x:c>
      <x:c r="J17" s="161" t="str">
        <x:v>[]</x:v>
      </x:c>
      <x:c r="K17" s="161" t="str">
        <x:v>[]</x:v>
      </x:c>
      <x:c r="L17" s="161" t="str">
        <x:v>[]</x:v>
      </x:c>
      <x:c r="M17" s="161" t="str">
        <x:v>[]</x:v>
      </x:c>
      <x:c r="N17" s="161" t="str">
        <x:v>[]</x:v>
      </x:c>
      <x:c r="O17" s="161" t="str">
        <x:v>[]</x:v>
      </x:c>
      <x:c r="P17" s="161" t="str">
        <x:v>["NUM-688758-00001", "NUM-688758-00002"]</x:v>
      </x:c>
      <x:c r="Q17" s="161" t="str">
        <x:v>[]</x:v>
      </x:c>
      <x:c r="R17" s="161" t="str">
        <x:v>[]</x:v>
      </x:c>
      <x:c r="S17" s="161" t="str">
        <x:v>AUTO_STRUCTURED</x:v>
      </x:c>
      <x:c r="T17" s="161" t="str">
        <x:v>False</x:v>
      </x:c>
      <x:c r="U17" s="167" t="str">
        <x:v>[]</x:v>
      </x:c>
    </x:row>
    <x:row r="18" ht="30" customHeight="1">
      <x:c r="A18" s="198" t="n">
        <x:v>688758</x:v>
      </x:c>
      <x:c r="B18" s="161" t="str">
        <x:v>赛分科技</x:v>
      </x:c>
      <x:c r="C18" s="161" t="str">
        <x:v>TRX-688758-0003-01</x:v>
      </x:c>
      <x:c r="D18" s="161" t="str">
        <x:v>EVT-688758-0003</x:v>
      </x:c>
      <x:c r="E18" s="161" t="str">
        <x:v>EQUITY_TRANSFER</x:v>
      </x:c>
      <x:c r="F18" s="161" t="str">
        <x:v>2021-04</x:v>
      </x:c>
      <x:c r="G18" s="161" t="str">
        <x:v>event_period</x:v>
      </x:c>
      <x:c r="H18" s="161" t="str">
        <x:v>["PTY-688758-00001"]</x:v>
      </x:c>
      <x:c r="I18" s="161" t="str">
        <x:v>[]</x:v>
      </x:c>
      <x:c r="J18" s="161" t="str">
        <x:v>["PTY-688758-00002"]</x:v>
      </x:c>
      <x:c r="K18" s="161" t="str">
        <x:v>[]</x:v>
      </x:c>
      <x:c r="L18" s="161" t="str">
        <x:v>[]</x:v>
      </x:c>
      <x:c r="M18" s="161" t="str">
        <x:v>[]</x:v>
      </x:c>
      <x:c r="N18" s="161" t="str">
        <x:v>[]</x:v>
      </x:c>
      <x:c r="O18" s="161" t="str">
        <x:v>[]</x:v>
      </x:c>
      <x:c r="P18" s="161" t="str">
        <x:v>[]</x:v>
      </x:c>
      <x:c r="Q18" s="161" t="str">
        <x:v>[]</x:v>
      </x:c>
      <x:c r="R18" s="161" t="str">
        <x:v>[]</x:v>
      </x:c>
      <x:c r="S18" s="161" t="str">
        <x:v>AUTO_STRUCTURED_WITH_REVIEW</x:v>
      </x:c>
      <x:c r="T18" s="161" t="str">
        <x:v>True</x:v>
      </x:c>
      <x:c r="U18" s="167" t="str">
        <x:v>["股权转让未抽取到受让方"]</x:v>
      </x:c>
    </x:row>
    <x:row r="19" ht="30" customHeight="1">
      <x:c r="A19" s="198" t="n">
        <x:v>688758</x:v>
      </x:c>
      <x:c r="B19" s="161" t="str">
        <x:v>赛分科技</x:v>
      </x:c>
      <x:c r="C19" s="161" t="str">
        <x:v>TRX-688758-0003-02</x:v>
      </x:c>
      <x:c r="D19" s="161" t="str">
        <x:v>EVT-688758-0003</x:v>
      </x:c>
      <x:c r="E19" s="161" t="str">
        <x:v>CAPITAL_INCREASE</x:v>
      </x:c>
      <x:c r="F19" s="161" t="str">
        <x:v>2021-04</x:v>
      </x:c>
      <x:c r="G19" s="161" t="str">
        <x:v>event_period</x:v>
      </x:c>
      <x:c r="H19" s="161" t="str">
        <x:v>["PTY-688758-00001"]</x:v>
      </x:c>
      <x:c r="I19" s="161" t="str">
        <x:v>[]</x:v>
      </x:c>
      <x:c r="J19" s="161" t="str">
        <x:v>["PTY-688758-00002"]</x:v>
      </x:c>
      <x:c r="K19" s="161" t="str">
        <x:v>[]</x:v>
      </x:c>
      <x:c r="L19" s="161" t="str">
        <x:v>[]</x:v>
      </x:c>
      <x:c r="M19" s="161" t="str">
        <x:v>[]</x:v>
      </x:c>
      <x:c r="N19" s="161" t="str">
        <x:v>[]</x:v>
      </x:c>
      <x:c r="O19" s="161" t="str">
        <x:v>[]</x:v>
      </x:c>
      <x:c r="P19" s="161" t="str">
        <x:v>[]</x:v>
      </x:c>
      <x:c r="Q19" s="161" t="str">
        <x:v>[]</x:v>
      </x:c>
      <x:c r="R19" s="161" t="str">
        <x:v>[]</x:v>
      </x:c>
      <x:c r="S19" s="161" t="str">
        <x:v>AUTO_STRUCTURED_WITH_REVIEW</x:v>
      </x:c>
      <x:c r="T19" s="161" t="str">
        <x:v>True</x:v>
      </x:c>
      <x:c r="U19" s="167" t="str">
        <x:v>["增资或发行未抽取到金额、注册资本或股份数量"]</x:v>
      </x:c>
    </x:row>
    <x:row r="20" ht="30" customHeight="1">
      <x:c r="A20" s="198" t="n">
        <x:v>688758</x:v>
      </x:c>
      <x:c r="B20" s="161" t="str">
        <x:v>赛分科技</x:v>
      </x:c>
      <x:c r="C20" s="161" t="str">
        <x:v>TRX-688758-0004-01</x:v>
      </x:c>
      <x:c r="D20" s="161" t="str">
        <x:v>EVT-688758-0004</x:v>
      </x:c>
      <x:c r="E20" s="161" t="str">
        <x:v>EQUITY_TRANSFER</x:v>
      </x:c>
      <x:c r="F20" s="161" t="str">
        <x:v>2021-08</x:v>
      </x:c>
      <x:c r="G20" s="161" t="str">
        <x:v>event_period</x:v>
      </x:c>
      <x:c r="H20" s="161" t="str">
        <x:v>["PTY-688758-00001"]</x:v>
      </x:c>
      <x:c r="I20" s="161" t="str">
        <x:v>["PTY-688758-00002"]</x:v>
      </x:c>
      <x:c r="J20" s="161" t="str">
        <x:v>[]</x:v>
      </x:c>
      <x:c r="K20" s="161" t="str">
        <x:v>[]</x:v>
      </x:c>
      <x:c r="L20" s="161" t="str">
        <x:v>[]</x:v>
      </x:c>
      <x:c r="M20" s="161" t="str">
        <x:v>[]</x:v>
      </x:c>
      <x:c r="N20" s="161" t="str">
        <x:v>[]</x:v>
      </x:c>
      <x:c r="O20" s="161" t="str">
        <x:v>[]</x:v>
      </x:c>
      <x:c r="P20" s="161" t="str">
        <x:v>[]</x:v>
      </x:c>
      <x:c r="Q20" s="161" t="str">
        <x:v>[]</x:v>
      </x:c>
      <x:c r="R20" s="161" t="str">
        <x:v>["NUM-688758-00002"]</x:v>
      </x:c>
      <x:c r="S20" s="161" t="str">
        <x:v>AUTO_STRUCTURED</x:v>
      </x:c>
      <x:c r="T20" s="161" t="str">
        <x:v>False</x:v>
      </x:c>
      <x:c r="U20" s="167" t="str">
        <x:v>[]</x:v>
      </x:c>
    </x:row>
    <x:row r="21" ht="30" customHeight="1">
      <x:c r="A21" s="198" t="n">
        <x:v>688758</x:v>
      </x:c>
      <x:c r="B21" s="161" t="str">
        <x:v>赛分科技</x:v>
      </x:c>
      <x:c r="C21" s="161" t="str">
        <x:v>TRX-688758-0005-01</x:v>
      </x:c>
      <x:c r="D21" s="161" t="str">
        <x:v>EVT-688758-0005</x:v>
      </x:c>
      <x:c r="E21" s="161" t="str">
        <x:v>CAPITAL_INCREASE</x:v>
      </x:c>
      <x:c r="F21" s="161" t="str">
        <x:v>2021-11</x:v>
      </x:c>
      <x:c r="G21" s="161" t="str">
        <x:v>event_period</x:v>
      </x:c>
      <x:c r="H21" s="161" t="str">
        <x:v>[]</x:v>
      </x:c>
      <x:c r="I21" s="161" t="str">
        <x:v>[]</x:v>
      </x:c>
      <x:c r="J21" s="161" t="str">
        <x:v>["PTY-688758-00001", "PTY-688758-00002"]</x:v>
      </x:c>
      <x:c r="K21" s="161" t="str">
        <x:v>[]</x:v>
      </x:c>
      <x:c r="L21" s="161" t="str">
        <x:v>[]</x:v>
      </x:c>
      <x:c r="M21" s="161" t="str">
        <x:v>[]</x:v>
      </x:c>
      <x:c r="N21" s="161" t="str">
        <x:v>[]</x:v>
      </x:c>
      <x:c r="O21" s="161" t="str">
        <x:v>[]</x:v>
      </x:c>
      <x:c r="P21" s="161" t="str">
        <x:v>["NUM-688758-00001"]</x:v>
      </x:c>
      <x:c r="Q21" s="161" t="str">
        <x:v>[]</x:v>
      </x:c>
      <x:c r="R21" s="161" t="str">
        <x:v>[]</x:v>
      </x:c>
      <x:c r="S21" s="161" t="str">
        <x:v>AUTO_STRUCTURED</x:v>
      </x:c>
      <x:c r="T21" s="161" t="str">
        <x:v>False</x:v>
      </x:c>
      <x:c r="U21" s="167" t="str">
        <x:v>[]</x:v>
      </x:c>
    </x:row>
    <x:row r="22" ht="30" customHeight="1">
      <x:c r="A22" s="198" t="n">
        <x:v>688758</x:v>
      </x:c>
      <x:c r="B22" s="161" t="str">
        <x:v>赛分科技</x:v>
      </x:c>
      <x:c r="C22" s="161" t="str">
        <x:v>TRX-688758-0006-01</x:v>
      </x:c>
      <x:c r="D22" s="161" t="str">
        <x:v>EVT-688758-0006</x:v>
      </x:c>
      <x:c r="E22" s="161" t="str">
        <x:v>CAPITAL_INCREASE</x:v>
      </x:c>
      <x:c r="F22" s="161" t="str">
        <x:v>2021-12</x:v>
      </x:c>
      <x:c r="G22" s="161" t="str">
        <x:v>event_period</x:v>
      </x:c>
      <x:c r="H22" s="161" t="str">
        <x:v>[]</x:v>
      </x:c>
      <x:c r="I22" s="161" t="str">
        <x:v>[]</x:v>
      </x:c>
      <x:c r="J22" s="161" t="str">
        <x:v>["PTY-688758-00001"]</x:v>
      </x:c>
      <x:c r="K22" s="161" t="str">
        <x:v>[]</x:v>
      </x:c>
      <x:c r="L22" s="161" t="str">
        <x:v>[]</x:v>
      </x:c>
      <x:c r="M22" s="161" t="str">
        <x:v>[]</x:v>
      </x:c>
      <x:c r="N22" s="161" t="str">
        <x:v>[]</x:v>
      </x:c>
      <x:c r="O22" s="161" t="str">
        <x:v>[]</x:v>
      </x:c>
      <x:c r="P22" s="161" t="str">
        <x:v>["NUM-688758-00001"]</x:v>
      </x:c>
      <x:c r="Q22" s="161" t="str">
        <x:v>[]</x:v>
      </x:c>
      <x:c r="R22" s="161" t="str">
        <x:v>[]</x:v>
      </x:c>
      <x:c r="S22" s="161" t="str">
        <x:v>AUTO_STRUCTURED</x:v>
      </x:c>
      <x:c r="T22" s="161" t="str">
        <x:v>False</x:v>
      </x:c>
      <x:c r="U22" s="167" t="str">
        <x:v>[]</x:v>
      </x:c>
    </x:row>
    <x:row r="23" ht="30" customHeight="1">
      <x:c r="A23" s="198" t="n">
        <x:v>688758</x:v>
      </x:c>
      <x:c r="B23" s="161" t="str">
        <x:v>赛分科技</x:v>
      </x:c>
      <x:c r="C23" s="161" t="str">
        <x:v>TRX-688758-0007-01</x:v>
      </x:c>
      <x:c r="D23" s="161" t="str">
        <x:v>EVT-688758-0007</x:v>
      </x:c>
      <x:c r="E23" s="161" t="str">
        <x:v>SHARE_CAPITAL_CHANGE</x:v>
      </x:c>
      <x:c r="F23" s="161" t="str">
        <x:v>2021-12</x:v>
      </x:c>
      <x:c r="G23" s="161" t="str">
        <x:v>event_period</x:v>
      </x:c>
      <x:c r="H23" s="161" t="str">
        <x:v>[]</x:v>
      </x:c>
      <x:c r="I23" s="161" t="str">
        <x:v>[]</x:v>
      </x:c>
      <x:c r="J23" s="161" t="str">
        <x:v>[]</x:v>
      </x:c>
      <x:c r="K23" s="161" t="str">
        <x:v>[]</x:v>
      </x:c>
      <x:c r="L23" s="161" t="str">
        <x:v>[]</x:v>
      </x:c>
      <x:c r="M23" s="161" t="str">
        <x:v>[]</x:v>
      </x:c>
      <x:c r="N23" s="161" t="str">
        <x:v>[]</x:v>
      </x:c>
      <x:c r="O23" s="161" t="str">
        <x:v>[]</x:v>
      </x:c>
      <x:c r="P23" s="161" t="str">
        <x:v>["NUM-688758-00001", "NUM-688758-00002", "NUM-688758-00003", "NUM-688758-00004", "NUM-688758-00005"]</x:v>
      </x:c>
      <x:c r="Q23" s="161" t="str">
        <x:v>[]</x:v>
      </x:c>
      <x:c r="R23" s="161" t="str">
        <x:v>[]</x:v>
      </x:c>
      <x:c r="S23" s="161" t="str">
        <x:v>AUTO_STRUCTURED</x:v>
      </x:c>
      <x:c r="T23" s="161" t="str">
        <x:v>False</x:v>
      </x:c>
      <x:c r="U23" s="167" t="str">
        <x:v>[]</x:v>
      </x:c>
    </x:row>
    <x:row r="24" ht="30" customHeight="1">
      <x:c r="A24" s="198" t="n">
        <x:v>688775</x:v>
      </x:c>
      <x:c r="B24" s="161" t="str">
        <x:v>影石创新</x:v>
      </x:c>
      <x:c r="C24" s="161" t="str">
        <x:v>TRX-688775-0001-01</x:v>
      </x:c>
      <x:c r="D24" s="161" t="str">
        <x:v>EVT-688775-0001</x:v>
      </x:c>
      <x:c r="E24" s="161" t="str">
        <x:v>ESTABLISHMENT</x:v>
      </x:c>
      <x:c r="F24" s="161" t="str">
        <x:v>2015-07-09</x:v>
      </x:c>
      <x:c r="G24" s="161" t="str">
        <x:v>other_date</x:v>
      </x:c>
      <x:c r="H24" s="161" t="str">
        <x:v>[]</x:v>
      </x:c>
      <x:c r="I24" s="161" t="str">
        <x:v>[]</x:v>
      </x:c>
      <x:c r="J24" s="161" t="str">
        <x:v>[]</x:v>
      </x:c>
      <x:c r="K24" s="161" t="str">
        <x:v>[]</x:v>
      </x:c>
      <x:c r="L24" s="161" t="str">
        <x:v>[]</x:v>
      </x:c>
      <x:c r="M24" s="161" t="str">
        <x:v>[]</x:v>
      </x:c>
      <x:c r="N24" s="161" t="str">
        <x:v>[]</x:v>
      </x:c>
      <x:c r="O24" s="161" t="str">
        <x:v>[]</x:v>
      </x:c>
      <x:c r="P24" s="161" t="str">
        <x:v>[]</x:v>
      </x:c>
      <x:c r="Q24" s="161" t="str">
        <x:v>[]</x:v>
      </x:c>
      <x:c r="R24" s="161" t="str">
        <x:v>[]</x:v>
      </x:c>
      <x:c r="S24" s="161" t="str">
        <x:v>AUTO_STRUCTURED_WITH_REVIEW</x:v>
      </x:c>
      <x:c r="T24" s="161" t="str">
        <x:v>True</x:v>
      </x:c>
      <x:c r="U24" s="167" t="str">
        <x:v>["设立事件未抽取到注册资本或出资人"]</x:v>
      </x:c>
    </x:row>
    <x:row r="25" ht="30" customHeight="1">
      <x:c r="A25" s="198" t="n">
        <x:v>688775</x:v>
      </x:c>
      <x:c r="B25" s="161" t="str">
        <x:v>影石创新</x:v>
      </x:c>
      <x:c r="C25" s="161" t="str">
        <x:v>TRX-688775-0002-01</x:v>
      </x:c>
      <x:c r="D25" s="161" t="str">
        <x:v>EVT-688775-0002</x:v>
      </x:c>
      <x:c r="E25" s="161" t="str">
        <x:v>OVERALL_CHANGE</x:v>
      </x:c>
      <x:c r="F25" s="161" t="str">
        <x:v>2020-02-26</x:v>
      </x:c>
      <x:c r="G25" s="161" t="str">
        <x:v>registration_date</x:v>
      </x:c>
      <x:c r="H25" s="161" t="str">
        <x:v>[]</x:v>
      </x:c>
      <x:c r="I25" s="161" t="str">
        <x:v>[]</x:v>
      </x:c>
      <x:c r="J25" s="161" t="str">
        <x:v>[]</x:v>
      </x:c>
      <x:c r="K25" s="161" t="str">
        <x:v>[]</x:v>
      </x:c>
      <x:c r="L25" s="161" t="str">
        <x:v>[]</x:v>
      </x:c>
      <x:c r="M25" s="161" t="str">
        <x:v>[]</x:v>
      </x:c>
      <x:c r="N25" s="161" t="str">
        <x:v>[]</x:v>
      </x:c>
      <x:c r="O25" s="161" t="str">
        <x:v>[]</x:v>
      </x:c>
      <x:c r="P25" s="161" t="str">
        <x:v>["NUM-688775-00001"]</x:v>
      </x:c>
      <x:c r="Q25" s="161" t="str">
        <x:v>[]</x:v>
      </x:c>
      <x:c r="R25" s="161" t="str">
        <x:v>[]</x:v>
      </x:c>
      <x:c r="S25" s="161" t="str">
        <x:v>AUTO_STRUCTURED</x:v>
      </x:c>
      <x:c r="T25" s="161" t="str">
        <x:v>False</x:v>
      </x:c>
      <x:c r="U25" s="167" t="str">
        <x:v>[]</x:v>
      </x:c>
    </x:row>
    <x:row r="26" ht="30" customHeight="1">
      <x:c r="A26" s="198" t="n">
        <x:v>688775</x:v>
      </x:c>
      <x:c r="B26" s="161" t="str">
        <x:v>影石创新</x:v>
      </x:c>
      <x:c r="C26" s="161" t="str">
        <x:v>TRX-688775-0003-01</x:v>
      </x:c>
      <x:c r="D26" s="161" t="str">
        <x:v>EVT-688775-0003</x:v>
      </x:c>
      <x:c r="E26" s="161" t="str">
        <x:v>EQUITY_TRANSFER</x:v>
      </x:c>
      <x:c r="F26" s="161" t="str">
        <x:v>2023-03</x:v>
      </x:c>
      <x:c r="G26" s="161" t="str">
        <x:v>event_period</x:v>
      </x:c>
      <x:c r="H26" s="161" t="str">
        <x:v>[]</x:v>
      </x:c>
      <x:c r="I26" s="161" t="str">
        <x:v>[]</x:v>
      </x:c>
      <x:c r="J26" s="161" t="str">
        <x:v>[]</x:v>
      </x:c>
      <x:c r="K26" s="161" t="str">
        <x:v>[]</x:v>
      </x:c>
      <x:c r="L26" s="161" t="str">
        <x:v>[]</x:v>
      </x:c>
      <x:c r="M26" s="161" t="str">
        <x:v>[]</x:v>
      </x:c>
      <x:c r="N26" s="161" t="str">
        <x:v>[]</x:v>
      </x:c>
      <x:c r="O26" s="161" t="str">
        <x:v>[]</x:v>
      </x:c>
      <x:c r="P26" s="161" t="str">
        <x:v>["NUM-688775-00001"]</x:v>
      </x:c>
      <x:c r="Q26" s="161" t="str">
        <x:v>[]</x:v>
      </x:c>
      <x:c r="R26" s="161" t="str">
        <x:v>[]</x:v>
      </x:c>
      <x:c r="S26" s="161" t="str">
        <x:v>AUTO_STRUCTURED_WITH_REVIEW</x:v>
      </x:c>
      <x:c r="T26" s="161" t="str">
        <x:v>True</x:v>
      </x:c>
      <x:c r="U26" s="167" t="str">
        <x:v>["股权转让未抽取到转让方", "股权转让未抽取到受让方"]</x:v>
      </x:c>
    </x:row>
    <x:row r="27" ht="30" customHeight="1">
      <x:c r="A27" s="198" t="n">
        <x:v>920100</x:v>
      </x:c>
      <x:c r="B27" s="161" t="str">
        <x:v>三协电机</x:v>
      </x:c>
      <x:c r="C27" s="161" t="str">
        <x:v>TRX-920100-0001-01</x:v>
      </x:c>
      <x:c r="D27" s="161" t="str">
        <x:v>EVT-920100-0001</x:v>
      </x:c>
      <x:c r="E27" s="161" t="str">
        <x:v>EQUITY_HOLDING_PROXY_RELEASE</x:v>
      </x:c>
      <x:c r="F27" s="161" t="str">
        <x:v>2021-03</x:v>
      </x:c>
      <x:c r="G27" s="161" t="str">
        <x:v>event_period</x:v>
      </x:c>
      <x:c r="H27" s="161" t="str">
        <x:v>[]</x:v>
      </x:c>
      <x:c r="I27" s="161" t="str">
        <x:v>[]</x:v>
      </x:c>
      <x:c r="J27" s="161" t="str">
        <x:v>[]</x:v>
      </x:c>
      <x:c r="K27" s="161" t="str">
        <x:v>[]</x:v>
      </x:c>
      <x:c r="L27" s="161" t="str">
        <x:v>[]</x:v>
      </x:c>
      <x:c r="M27" s="161" t="str">
        <x:v>[]</x:v>
      </x:c>
      <x:c r="N27" s="161" t="str">
        <x:v>[]</x:v>
      </x:c>
      <x:c r="O27" s="161" t="str">
        <x:v>[]</x:v>
      </x:c>
      <x:c r="P27" s="161" t="str">
        <x:v>[]</x:v>
      </x:c>
      <x:c r="Q27" s="161" t="str">
        <x:v>[]</x:v>
      </x:c>
      <x:c r="R27" s="161" t="str">
        <x:v>[]</x:v>
      </x:c>
      <x:c r="S27" s="161" t="str">
        <x:v>AUTO_STRUCTURED</x:v>
      </x:c>
      <x:c r="T27" s="161" t="str">
        <x:v>False</x:v>
      </x:c>
      <x:c r="U27" s="167" t="str">
        <x:v>[]</x:v>
      </x:c>
    </x:row>
    <x:row r="28" ht="30" customHeight="1">
      <x:c r="A28" s="199" t="n">
        <x:v>920116</x:v>
      </x:c>
      <x:c r="B28" s="169" t="str">
        <x:v>星图测控</x:v>
      </x:c>
      <x:c r="C28" s="169" t="str">
        <x:v>TRX-920116-0001-01</x:v>
      </x:c>
      <x:c r="D28" s="169" t="str">
        <x:v>EVT-920116-0001</x:v>
      </x:c>
      <x:c r="E28" s="169" t="str">
        <x:v>DIRECTIONAL_FINANCING</x:v>
      </x:c>
      <x:c r="F28" s="169" t="str">
        <x:v>2023-05-16</x:v>
      </x:c>
      <x:c r="G28" s="169" t="str">
        <x:v>event_period</x:v>
      </x:c>
      <x:c r="H28" s="169" t="str">
        <x:v>[]</x:v>
      </x:c>
      <x:c r="I28" s="169" t="str">
        <x:v>[]</x:v>
      </x:c>
      <x:c r="J28" s="169" t="str">
        <x:v>["PTY-920116-00001", "PTY-920116-00002", "PTY-920116-00003"]</x:v>
      </x:c>
      <x:c r="K28" s="169" t="str">
        <x:v>[]</x:v>
      </x:c>
      <x:c r="L28" s="169" t="str">
        <x:v>[]</x:v>
      </x:c>
      <x:c r="M28" s="169" t="str">
        <x:v>[]</x:v>
      </x:c>
      <x:c r="N28" s="169" t="str">
        <x:v>[]</x:v>
      </x:c>
      <x:c r="O28" s="169" t="str">
        <x:v>[]</x:v>
      </x:c>
      <x:c r="P28" s="169" t="str">
        <x:v>["NUM-920116-00001"]</x:v>
      </x:c>
      <x:c r="Q28" s="169" t="str">
        <x:v>["NUM-920116-00002"]</x:v>
      </x:c>
      <x:c r="R28" s="169" t="str">
        <x:v>[]</x:v>
      </x:c>
      <x:c r="S28" s="169" t="str">
        <x:v>AUTO_STRUCTURED</x:v>
      </x:c>
      <x:c r="T28" s="169" t="str">
        <x:v>False</x:v>
      </x:c>
      <x:c r="U28" s="170" t="str">
        <x:v>[]</x:v>
      </x:c>
    </x:row>
  </x:sheetData>
  <x:conditionalFormatting sqref="S2:S28">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tableParts count="1">
    <x:tablePart xmlns:r="http://schemas.openxmlformats.org/officeDocument/2006/relationships" r:id="R180f1329b4f945b1"/>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103" t="str">
        <x:v>证券代码</x:v>
      </x:c>
      <x:c r="B1" s="104" t="str">
        <x:v>公司简称</x:v>
      </x:c>
      <x:c r="C1" s="104" t="str">
        <x:v>数值事实ID</x:v>
      </x:c>
      <x:c r="D1" s="104" t="str">
        <x:v>事件ID</x:v>
      </x:c>
      <x:c r="E1" s="104" t="str">
        <x:v>事实类型</x:v>
      </x:c>
      <x:c r="F1" s="104" t="str">
        <x:v>原文数值</x:v>
      </x:c>
      <x:c r="G1" s="104" t="str">
        <x:v>原始数值</x:v>
      </x:c>
      <x:c r="H1" s="104" t="str">
        <x:v>标准单位</x:v>
      </x:c>
      <x:c r="I1" s="104" t="str">
        <x:v>币种</x:v>
      </x:c>
      <x:c r="J1" s="104" t="str">
        <x:v>缩放倍数</x:v>
      </x:c>
      <x:c r="K1" s="104" t="str">
        <x:v>标准化值</x:v>
      </x:c>
      <x:c r="L1" s="104" t="str">
        <x:v>值类型</x:v>
      </x:c>
      <x:c r="M1" s="104" t="str">
        <x:v>证据ID</x:v>
      </x:c>
      <x:c r="N1" s="104" t="str">
        <x:v>PDF起始页</x:v>
      </x:c>
      <x:c r="O1" s="104" t="str">
        <x:v>PDF结束页</x:v>
      </x:c>
      <x:c r="P1" s="104" t="str">
        <x:v>上下文</x:v>
      </x:c>
      <x:c r="Q1" s="104" t="str">
        <x:v>置信度</x:v>
      </x:c>
      <x:c r="R1" s="104" t="str">
        <x:v>是否复核</x:v>
      </x:c>
      <x:c r="S1" s="105" t="str">
        <x:v>复核原因</x:v>
      </x:c>
    </x:row>
    <x:row r="2" ht="30" customHeight="1">
      <x:c r="A2" s="197" t="n">
        <x:v>1282</x:v>
      </x:c>
      <x:c r="B2" s="164" t="str">
        <x:v>三联锻造</x:v>
      </x:c>
      <x:c r="C2" s="164" t="str">
        <x:v>NUM-001282-00001</x:v>
      </x:c>
      <x:c r="D2" s="164" t="str">
        <x:v>EVT-001282-0001</x:v>
      </x:c>
      <x:c r="E2" s="164" t="str">
        <x:v>REGISTERED_CAPITAL</x:v>
      </x:c>
      <x:c r="F2" s="164" t="str">
        <x:v>注册资本500万元</x:v>
      </x:c>
      <x:c r="G2" s="164" t="n">
        <x:v>500</x:v>
      </x:c>
      <x:c r="H2" s="164" t="str">
        <x:v>元</x:v>
      </x:c>
      <x:c r="I2" s="164" t="str">
        <x:v>CNY</x:v>
      </x:c>
      <x:c r="J2" s="164" t="n">
        <x:v>10000</x:v>
      </x:c>
      <x:c r="K2" s="164" t="n">
        <x:v>5000000</x:v>
      </x:c>
      <x:c r="L2" s="164" t="str">
        <x:v>DISCLOSED</x:v>
      </x:c>
      <x:c r="M2" s="164" t="str">
        <x:v>EVD-001282-0001-01</x:v>
      </x:c>
      <x:c r="N2" s="164" t="n">
        <x:v>30</x:v>
      </x:c>
      <x:c r="O2" s="164" t="n">
        <x:v>32</x:v>
      </x:c>
      <x:c r="P2" s="164" t="str">
        <x:v>公司设立程序2004年6月1日，孙国奉、孙国敏和张松满就设立三联有限签署了股东协议书及公司章程，约定三联有限的注册资本500万元，由孙国奉以机器设备出资175万元，占注册资本35%；孙国敏以货币和机器设备出资162.5万元，占注册资本32</x:v>
      </x:c>
      <x:c r="Q2" s="164" t="n">
        <x:v>0.88</x:v>
      </x:c>
      <x:c r="R2" s="164" t="str">
        <x:v>否</x:v>
      </x:c>
      <x:c r="S2" s="165"/>
    </x:row>
    <x:row r="3" ht="30" customHeight="1">
      <x:c r="A3" s="198" t="n">
        <x:v>1282</x:v>
      </x:c>
      <x:c r="B3" s="161" t="str">
        <x:v>三联锻造</x:v>
      </x:c>
      <x:c r="C3" s="161" t="str">
        <x:v>NUM-001282-00002</x:v>
      </x:c>
      <x:c r="D3" s="161" t="str">
        <x:v>EVT-001282-0001</x:v>
      </x:c>
      <x:c r="E3" s="161" t="str">
        <x:v>SHARE_QUANTITY</x:v>
      </x:c>
      <x:c r="F3" s="161" t="str">
        <x:v>31股</x:v>
      </x:c>
      <x:c r="G3" s="161" t="n">
        <x:v>31</x:v>
      </x:c>
      <x:c r="H3" s="161" t="str">
        <x:v>股</x:v>
      </x:c>
      <x:c r="I3" s="161"/>
      <x:c r="J3" s="161" t="n">
        <x:v>1</x:v>
      </x:c>
      <x:c r="K3" s="161" t="n">
        <x:v>31</x:v>
      </x:c>
      <x:c r="L3" s="161" t="str">
        <x:v>DISCLOSED</x:v>
      </x:c>
      <x:c r="M3" s="161" t="str">
        <x:v>EVD-001282-0001-01</x:v>
      </x:c>
      <x:c r="N3" s="161" t="n">
        <x:v>30</x:v>
      </x:c>
      <x:c r="O3" s="161" t="n">
        <x:v>32</x:v>
      </x:c>
      <x:c r="P3" s="161" t="str">
        <x:v>万元）出资比例（%）出资方式出资状态孙国奉175.0035.00货币实缴出资芜湖三联锻造股份有限公司招股说明书31股东名称注册资本（万元）出资比例（%）出资方式出资状态孙国敏152.5032.50货币实缴出资10.00债权（代</x:v>
      </x:c>
      <x:c r="Q3" s="161" t="n">
        <x:v>0.82</x:v>
      </x:c>
      <x:c r="R3" s="161" t="str">
        <x:v>否</x:v>
      </x:c>
      <x:c r="S3" s="167"/>
    </x:row>
    <x:row r="4" ht="30" customHeight="1">
      <x:c r="A4" s="198" t="n">
        <x:v>1282</x:v>
      </x:c>
      <x:c r="B4" s="161" t="str">
        <x:v>三联锻造</x:v>
      </x:c>
      <x:c r="C4" s="161" t="str">
        <x:v>NUM-001282-00003</x:v>
      </x:c>
      <x:c r="D4" s="161" t="str">
        <x:v>EVT-001282-0001</x:v>
      </x:c>
      <x:c r="E4" s="161" t="str">
        <x:v>EQUITY_RATIO</x:v>
      </x:c>
      <x:c r="F4" s="161" t="str">
        <x:v>35%</x:v>
      </x:c>
      <x:c r="G4" s="161" t="n">
        <x:v>35</x:v>
      </x:c>
      <x:c r="H4" s="161" t="str">
        <x:v>%</x:v>
      </x:c>
      <x:c r="I4" s="161"/>
      <x:c r="J4" s="161" t="n">
        <x:v>0.01</x:v>
      </x:c>
      <x:c r="K4" s="161" t="n">
        <x:v>0.35000000000000003</x:v>
      </x:c>
      <x:c r="L4" s="161" t="str">
        <x:v>DISCLOSED</x:v>
      </x:c>
      <x:c r="M4" s="161" t="str">
        <x:v>EVD-001282-0001-01</x:v>
      </x:c>
      <x:c r="N4" s="161" t="n">
        <x:v>30</x:v>
      </x:c>
      <x:c r="O4" s="161" t="n">
        <x:v>32</x:v>
      </x:c>
      <x:c r="P4" s="161" t="str">
        <x:v>有限签署了股东协议书及公司章程，约定三联有限的注册资本500万元，由孙国奉以机器设备出资175万元，占注册资本35%；孙国敏以货币和机器设备出资162.5万元，占注册资本32.5%；张松满以货币和机器设备出资162.5万元，占</x:v>
      </x:c>
      <x:c r="Q4" s="161" t="n">
        <x:v>0.76</x:v>
      </x:c>
      <x:c r="R4" s="161" t="str">
        <x:v>否</x:v>
      </x:c>
      <x:c r="S4" s="167"/>
    </x:row>
    <x:row r="5" ht="30" customHeight="1">
      <x:c r="A5" s="198" t="n">
        <x:v>1282</x:v>
      </x:c>
      <x:c r="B5" s="161" t="str">
        <x:v>三联锻造</x:v>
      </x:c>
      <x:c r="C5" s="161" t="str">
        <x:v>NUM-001282-00004</x:v>
      </x:c>
      <x:c r="D5" s="161" t="str">
        <x:v>EVT-001282-0001</x:v>
      </x:c>
      <x:c r="E5" s="161" t="str">
        <x:v>EQUITY_RATIO</x:v>
      </x:c>
      <x:c r="F5" s="161" t="str">
        <x:v>32.5%</x:v>
      </x:c>
      <x:c r="G5" s="161" t="n">
        <x:v>32.5</x:v>
      </x:c>
      <x:c r="H5" s="161" t="str">
        <x:v>%</x:v>
      </x:c>
      <x:c r="I5" s="161"/>
      <x:c r="J5" s="161" t="n">
        <x:v>0.01</x:v>
      </x:c>
      <x:c r="K5" s="161" t="n">
        <x:v>0.325</x:v>
      </x:c>
      <x:c r="L5" s="161" t="str">
        <x:v>DISCLOSED</x:v>
      </x:c>
      <x:c r="M5" s="161" t="str">
        <x:v>EVD-001282-0001-01</x:v>
      </x:c>
      <x:c r="N5" s="161" t="n">
        <x:v>30</x:v>
      </x:c>
      <x:c r="O5" s="161" t="n">
        <x:v>32</x:v>
      </x:c>
      <x:c r="P5" s="161" t="str">
        <x:v>万元，由孙国奉以机器设备出资175万元，占注册资本35%；孙国敏以货币和机器设备出资162.5万元，占注册资本32.5%；张松满以货币和机器设备出资162.5万元，占注册资本32.5%。2、设立时股东出资的验资情况2004年6月1</x:v>
      </x:c>
      <x:c r="Q5" s="161" t="n">
        <x:v>0.76</x:v>
      </x:c>
      <x:c r="R5" s="161" t="str">
        <x:v>否</x:v>
      </x:c>
      <x:c r="S5" s="167"/>
    </x:row>
    <x:row r="6" ht="30" customHeight="1">
      <x:c r="A6" s="198" t="n">
        <x:v>1282</x:v>
      </x:c>
      <x:c r="B6" s="161" t="str">
        <x:v>三联锻造</x:v>
      </x:c>
      <x:c r="C6" s="161" t="str">
        <x:v>NUM-001282-00001</x:v>
      </x:c>
      <x:c r="D6" s="161" t="str">
        <x:v>EVT-001282-0002</x:v>
      </x:c>
      <x:c r="E6" s="161" t="str">
        <x:v>REGISTERED_CAPITAL</x:v>
      </x:c>
      <x:c r="F6" s="161" t="str">
        <x:v>注册资本为8,150万元</x:v>
      </x:c>
      <x:c r="G6" s="161" t="n">
        <x:v>8150</x:v>
      </x:c>
      <x:c r="H6" s="161" t="str">
        <x:v>元</x:v>
      </x:c>
      <x:c r="I6" s="161" t="str">
        <x:v>CNY</x:v>
      </x:c>
      <x:c r="J6" s="161" t="n">
        <x:v>10000</x:v>
      </x:c>
      <x:c r="K6" s="161" t="n">
        <x:v>81500000</x:v>
      </x:c>
      <x:c r="L6" s="161" t="str">
        <x:v>DISCLOSED</x:v>
      </x:c>
      <x:c r="M6" s="161" t="str">
        <x:v>EVD-001282-0003-01</x:v>
      </x:c>
      <x:c r="N6" s="161" t="n">
        <x:v>32</x:v>
      </x:c>
      <x:c r="O6" s="161" t="n">
        <x:v>34</x:v>
      </x:c>
      <x:c r="P6" s="161" t="str">
        <x:v>、孙仁豪、高新同华等5名股东作为发起人签署了《发起人协议》，一致同意由三联有限整体变更设立股份公司，股份公司的注册资本为8,150万元。2018年10月27日，公司召开创立大会暨第一次临时股东大会并作出决议，全体股东（发起人）一致同意通过关于整</x:v>
      </x:c>
      <x:c r="Q6" s="161" t="n">
        <x:v>0.88</x:v>
      </x:c>
      <x:c r="R6" s="161" t="str">
        <x:v>否</x:v>
      </x:c>
      <x:c r="S6" s="167"/>
    </x:row>
    <x:row r="7" ht="30" customHeight="1">
      <x:c r="A7" s="198" t="n">
        <x:v>1282</x:v>
      </x:c>
      <x:c r="B7" s="161" t="str">
        <x:v>三联锻造</x:v>
      </x:c>
      <x:c r="C7" s="161" t="str">
        <x:v>NUM-001282-00002</x:v>
      </x:c>
      <x:c r="D7" s="161" t="str">
        <x:v>EVT-001282-0002</x:v>
      </x:c>
      <x:c r="E7" s="161" t="str">
        <x:v>SHARE_QUANTITY</x:v>
      </x:c>
      <x:c r="F7" s="161" t="str">
        <x:v>81,500,000股</x:v>
      </x:c>
      <x:c r="G7" s="161" t="n">
        <x:v>81500000</x:v>
      </x:c>
      <x:c r="H7" s="161" t="str">
        <x:v>股</x:v>
      </x:c>
      <x:c r="I7" s="161"/>
      <x:c r="J7" s="161" t="n">
        <x:v>1</x:v>
      </x:c>
      <x:c r="K7" s="161" t="n">
        <x:v>81500000</x:v>
      </x:c>
      <x:c r="L7" s="161" t="str">
        <x:v>DISCLOSED</x:v>
      </x:c>
      <x:c r="M7" s="161" t="str">
        <x:v>EVD-001282-0003-01</x:v>
      </x:c>
      <x:c r="N7" s="161" t="n">
        <x:v>32</x:v>
      </x:c>
      <x:c r="O7" s="161" t="n">
        <x:v>34</x:v>
      </x:c>
      <x:c r="P7" s="161" t="str">
        <x:v>计的净资产总计为308,886,389.01元，按照1：0.2639的比例折股，折合为股份有限公司的股份总数为81,500,000股，每股面值1元，共计81,500,000.00元，其余227,386,389.01元计入资本公积。根据中水致远</x:v>
      </x:c>
      <x:c r="Q7" s="161" t="n">
        <x:v>0.82</x:v>
      </x:c>
      <x:c r="R7" s="161" t="str">
        <x:v>否</x:v>
      </x:c>
      <x:c r="S7" s="167"/>
    </x:row>
    <x:row r="8" ht="30" customHeight="1">
      <x:c r="A8" s="198" t="n">
        <x:v>1282</x:v>
      </x:c>
      <x:c r="B8" s="161" t="str">
        <x:v>三联锻造</x:v>
      </x:c>
      <x:c r="C8" s="161" t="str">
        <x:v>NUM-001282-00003</x:v>
      </x:c>
      <x:c r="D8" s="161" t="str">
        <x:v>EVT-001282-0002</x:v>
      </x:c>
      <x:c r="E8" s="161" t="str">
        <x:v>SHARE_QUANTITY</x:v>
      </x:c>
      <x:c r="F8" s="161" t="str">
        <x:v>，股</x:v>
      </x:c>
      <x:c r="G8" s="161"/>
      <x:c r="H8" s="161" t="str">
        <x:v>股</x:v>
      </x:c>
      <x:c r="I8" s="161"/>
      <x:c r="J8" s="161" t="n">
        <x:v>1</x:v>
      </x:c>
      <x:c r="K8" s="161"/>
      <x:c r="L8" s="161" t="str">
        <x:v>DISCLOSED</x:v>
      </x:c>
      <x:c r="M8" s="161" t="str">
        <x:v>EVD-001282-0003-01</x:v>
      </x:c>
      <x:c r="N8" s="161" t="n">
        <x:v>32</x:v>
      </x:c>
      <x:c r="O8" s="161" t="n">
        <x:v>34</x:v>
      </x:c>
      <x:c r="P8" s="161" t="str">
        <x:v>一衡、孙国敏、孙仁豪、高新同华等5名股东作为发起人签署了《发起人协议》，一致同意由三联有限整体变更设立股份公司，股份公司的注册资本为8,150万元。2018年10月27日，公司召开创立大会暨第一次临时股东大会并作出决议，全体</x:v>
      </x:c>
      <x:c r="Q8" s="161" t="n">
        <x:v>0.82</x:v>
      </x:c>
      <x:c r="R8" s="161" t="str">
        <x:v>否</x:v>
      </x:c>
      <x:c r="S8" s="167"/>
    </x:row>
    <x:row r="9" ht="30" customHeight="1">
      <x:c r="A9" s="198" t="n">
        <x:v>1282</x:v>
      </x:c>
      <x:c r="B9" s="161" t="str">
        <x:v>三联锻造</x:v>
      </x:c>
      <x:c r="C9" s="161" t="str">
        <x:v>NUM-001282-00004</x:v>
      </x:c>
      <x:c r="D9" s="161" t="str">
        <x:v>EVT-001282-0002</x:v>
      </x:c>
      <x:c r="E9" s="161" t="str">
        <x:v>REGISTERED_CAPITAL_BEFORE</x:v>
      </x:c>
      <x:c r="F9" s="161" t="str">
        <x:v>注册资本由8,150万元</x:v>
      </x:c>
      <x:c r="G9" s="161" t="n">
        <x:v>8150</x:v>
      </x:c>
      <x:c r="H9" s="161" t="str">
        <x:v>元</x:v>
      </x:c>
      <x:c r="I9" s="161" t="str">
        <x:v>CNY</x:v>
      </x:c>
      <x:c r="J9" s="161" t="n">
        <x:v>10000</x:v>
      </x:c>
      <x:c r="K9" s="161" t="n">
        <x:v>81500000</x:v>
      </x:c>
      <x:c r="L9" s="161" t="str">
        <x:v>DISCLOSED</x:v>
      </x:c>
      <x:c r="M9" s="161" t="str">
        <x:v>EVD-001282-0003-03</x:v>
      </x:c>
      <x:c r="N9" s="161" t="n">
        <x:v>35</x:v>
      </x:c>
      <x:c r="O9" s="161" t="n">
        <x:v>36</x:v>
      </x:c>
      <x:c r="P9" s="161"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x:v>
      </x:c>
      <x:c r="Q9" s="161" t="n">
        <x:v>0.94</x:v>
      </x:c>
      <x:c r="R9" s="161" t="str">
        <x:v>否</x:v>
      </x:c>
      <x:c r="S9" s="167"/>
    </x:row>
    <x:row r="10" ht="30" customHeight="1">
      <x:c r="A10" s="198" t="n">
        <x:v>1282</x:v>
      </x:c>
      <x:c r="B10" s="161" t="str">
        <x:v>三联锻造</x:v>
      </x:c>
      <x:c r="C10" s="161" t="str">
        <x:v>NUM-001282-00005</x:v>
      </x:c>
      <x:c r="D10" s="161" t="str">
        <x:v>EVT-001282-0002</x:v>
      </x:c>
      <x:c r="E10" s="161" t="str">
        <x:v>REGISTERED_CAPITAL_AFTER</x:v>
      </x:c>
      <x:c r="F10" s="161" t="str">
        <x:v>注册资本由8,150万元增加至8,498万元</x:v>
      </x:c>
      <x:c r="G10" s="161" t="n">
        <x:v>8498</x:v>
      </x:c>
      <x:c r="H10" s="161" t="str">
        <x:v>元</x:v>
      </x:c>
      <x:c r="I10" s="161" t="str">
        <x:v>CNY</x:v>
      </x:c>
      <x:c r="J10" s="161" t="n">
        <x:v>10000</x:v>
      </x:c>
      <x:c r="K10" s="161" t="n">
        <x:v>84980000</x:v>
      </x:c>
      <x:c r="L10" s="161" t="str">
        <x:v>DISCLOSED</x:v>
      </x:c>
      <x:c r="M10" s="161" t="str">
        <x:v>EVD-001282-0003-03</x:v>
      </x:c>
      <x:c r="N10" s="161" t="n">
        <x:v>35</x:v>
      </x:c>
      <x:c r="O10" s="161" t="n">
        <x:v>36</x:v>
      </x:c>
      <x:c r="P10" s="161"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x:v>
      </x:c>
      <x:c r="Q10" s="161" t="n">
        <x:v>0.96</x:v>
      </x:c>
      <x:c r="R10" s="161" t="str">
        <x:v>否</x:v>
      </x:c>
      <x:c r="S10" s="167"/>
    </x:row>
    <x:row r="11" ht="30" customHeight="1">
      <x:c r="A11" s="198" t="n">
        <x:v>1282</x:v>
      </x:c>
      <x:c r="B11" s="161" t="str">
        <x:v>三联锻造</x:v>
      </x:c>
      <x:c r="C11" s="161" t="str">
        <x:v>NUM-001282-00006</x:v>
      </x:c>
      <x:c r="D11" s="161" t="str">
        <x:v>EVT-001282-0002</x:v>
      </x:c>
      <x:c r="E11" s="161" t="str">
        <x:v>SHARE_PRICE</x:v>
      </x:c>
      <x:c r="F11" s="161" t="str">
        <x:v>每股4.50元</x:v>
      </x:c>
      <x:c r="G11" s="161" t="n">
        <x:v>4.5</x:v>
      </x:c>
      <x:c r="H11" s="161" t="str">
        <x:v>元</x:v>
      </x:c>
      <x:c r="I11" s="161" t="str">
        <x:v>CNY</x:v>
      </x:c>
      <x:c r="J11" s="161" t="n">
        <x:v>1</x:v>
      </x:c>
      <x:c r="K11" s="161" t="n">
        <x:v>4.5</x:v>
      </x:c>
      <x:c r="L11" s="161" t="str">
        <x:v>DISCLOSED</x:v>
      </x:c>
      <x:c r="M11" s="161" t="str">
        <x:v>EVD-001282-0003-03</x:v>
      </x:c>
      <x:c r="N11" s="161" t="n">
        <x:v>35</x:v>
      </x:c>
      <x:c r="O11" s="161" t="n">
        <x:v>36</x:v>
      </x:c>
      <x:c r="P11" s="161" t="str">
        <x:v>资扩股的议案》，议案决定拟将公司的注册资本由8,150万元增加至8,498万元。新增注册资本由新股东三联合伙以每股4.50元的价格认购，其中348万元计入注册资本，剩余1,218万元计入资本公积。本次增资时三联合伙合伙人的岗位及合伙份</x:v>
      </x:c>
      <x:c r="Q11" s="161" t="n">
        <x:v>0.91</x:v>
      </x:c>
      <x:c r="R11" s="161" t="str">
        <x:v>否</x:v>
      </x:c>
      <x:c r="S11" s="167"/>
    </x:row>
    <x:row r="12" ht="30" customHeight="1">
      <x:c r="A12" s="198" t="n">
        <x:v>1282</x:v>
      </x:c>
      <x:c r="B12" s="161" t="str">
        <x:v>三联锻造</x:v>
      </x:c>
      <x:c r="C12" s="161" t="str">
        <x:v>NUM-001282-00001</x:v>
      </x:c>
      <x:c r="D12" s="161" t="str">
        <x:v>EVT-001282-0003</x:v>
      </x:c>
      <x:c r="E12" s="161" t="str">
        <x:v>REGISTERED_CAPITAL_BEFORE</x:v>
      </x:c>
      <x:c r="F12" s="161" t="str">
        <x:v>注册资本由8,150万元</x:v>
      </x:c>
      <x:c r="G12" s="161" t="n">
        <x:v>8150</x:v>
      </x:c>
      <x:c r="H12" s="161" t="str">
        <x:v>元</x:v>
      </x:c>
      <x:c r="I12" s="161" t="str">
        <x:v>CNY</x:v>
      </x:c>
      <x:c r="J12" s="161" t="n">
        <x:v>10000</x:v>
      </x:c>
      <x:c r="K12" s="161" t="n">
        <x:v>81500000</x:v>
      </x:c>
      <x:c r="L12" s="161" t="str">
        <x:v>DISCLOSED</x:v>
      </x:c>
      <x:c r="M12" s="161" t="str">
        <x:v>EVD-001282-0004-01</x:v>
      </x:c>
      <x:c r="N12" s="161" t="n">
        <x:v>35</x:v>
      </x:c>
      <x:c r="O12" s="161" t="n">
        <x:v>36</x:v>
      </x:c>
      <x:c r="P12" s="161"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x:v>
      </x:c>
      <x:c r="Q12" s="161" t="n">
        <x:v>0.94</x:v>
      </x:c>
      <x:c r="R12" s="161" t="str">
        <x:v>否</x:v>
      </x:c>
      <x:c r="S12" s="167"/>
    </x:row>
    <x:row r="13" ht="30" customHeight="1">
      <x:c r="A13" s="198" t="n">
        <x:v>1282</x:v>
      </x:c>
      <x:c r="B13" s="161" t="str">
        <x:v>三联锻造</x:v>
      </x:c>
      <x:c r="C13" s="161" t="str">
        <x:v>NUM-001282-00002</x:v>
      </x:c>
      <x:c r="D13" s="161" t="str">
        <x:v>EVT-001282-0003</x:v>
      </x:c>
      <x:c r="E13" s="161" t="str">
        <x:v>REGISTERED_CAPITAL_AFTER</x:v>
      </x:c>
      <x:c r="F13" s="161" t="str">
        <x:v>注册资本由8,150万元增加至8,498万元</x:v>
      </x:c>
      <x:c r="G13" s="161" t="n">
        <x:v>8498</x:v>
      </x:c>
      <x:c r="H13" s="161" t="str">
        <x:v>元</x:v>
      </x:c>
      <x:c r="I13" s="161" t="str">
        <x:v>CNY</x:v>
      </x:c>
      <x:c r="J13" s="161" t="n">
        <x:v>10000</x:v>
      </x:c>
      <x:c r="K13" s="161" t="n">
        <x:v>84980000</x:v>
      </x:c>
      <x:c r="L13" s="161" t="str">
        <x:v>DISCLOSED</x:v>
      </x:c>
      <x:c r="M13" s="161" t="str">
        <x:v>EVD-001282-0004-01</x:v>
      </x:c>
      <x:c r="N13" s="161" t="n">
        <x:v>35</x:v>
      </x:c>
      <x:c r="O13" s="161" t="n">
        <x:v>36</x:v>
      </x:c>
      <x:c r="P13" s="161" t="str">
        <x:v>9年12月4日，公司召开2019年第二次临时股东大会，审议通过了《关于公司增资扩股的议案》，议案决定拟将公司的注册资本由8,150万元增加至8,498万元。新增注册资本由新股东三联合伙以每股4.50元的价格认购，其中348万元计入注册资本，剩余1,218万元计入资</x:v>
      </x:c>
      <x:c r="Q13" s="161" t="n">
        <x:v>0.96</x:v>
      </x:c>
      <x:c r="R13" s="161" t="str">
        <x:v>否</x:v>
      </x:c>
      <x:c r="S13" s="167"/>
    </x:row>
    <x:row r="14" ht="30" customHeight="1">
      <x:c r="A14" s="198" t="n">
        <x:v>1282</x:v>
      </x:c>
      <x:c r="B14" s="161" t="str">
        <x:v>三联锻造</x:v>
      </x:c>
      <x:c r="C14" s="161" t="str">
        <x:v>NUM-001282-00003</x:v>
      </x:c>
      <x:c r="D14" s="161" t="str">
        <x:v>EVT-001282-0003</x:v>
      </x:c>
      <x:c r="E14" s="161" t="str">
        <x:v>SHARE_QUANTITY</x:v>
      </x:c>
      <x:c r="F14" s="161" t="str">
        <x:v>，股</x:v>
      </x:c>
      <x:c r="G14" s="161"/>
      <x:c r="H14" s="161" t="str">
        <x:v>股</x:v>
      </x:c>
      <x:c r="I14" s="161"/>
      <x:c r="J14" s="161" t="n">
        <x:v>1</x:v>
      </x:c>
      <x:c r="K14" s="161"/>
      <x:c r="L14" s="161" t="str">
        <x:v>DISCLOSED</x:v>
      </x:c>
      <x:c r="M14" s="161" t="str">
        <x:v>EVD-001282-0004-01</x:v>
      </x:c>
      <x:c r="N14" s="161" t="n">
        <x:v>35</x:v>
      </x:c>
      <x:c r="O14" s="161" t="n">
        <x:v>36</x:v>
      </x:c>
      <x:c r="P14" s="161" t="str">
        <x:v>2019年12月，股份有限公司第一次增资芜湖三联锻造股份有限公司招股说明书35（1）增资情况2019年12月4日，公司召开2019</x:v>
      </x:c>
      <x:c r="Q14" s="161" t="n">
        <x:v>0.82</x:v>
      </x:c>
      <x:c r="R14" s="161" t="str">
        <x:v>否</x:v>
      </x:c>
      <x:c r="S14" s="167"/>
    </x:row>
    <x:row r="15" ht="30" customHeight="1">
      <x:c r="A15" s="198" t="n">
        <x:v>1282</x:v>
      </x:c>
      <x:c r="B15" s="161" t="str">
        <x:v>三联锻造</x:v>
      </x:c>
      <x:c r="C15" s="161" t="str">
        <x:v>NUM-001282-00004</x:v>
      </x:c>
      <x:c r="D15" s="161" t="str">
        <x:v>EVT-001282-0003</x:v>
      </x:c>
      <x:c r="E15" s="161" t="str">
        <x:v>SHARE_PRICE</x:v>
      </x:c>
      <x:c r="F15" s="161" t="str">
        <x:v>每股4.50元</x:v>
      </x:c>
      <x:c r="G15" s="161" t="n">
        <x:v>4.5</x:v>
      </x:c>
      <x:c r="H15" s="161" t="str">
        <x:v>元</x:v>
      </x:c>
      <x:c r="I15" s="161" t="str">
        <x:v>CNY</x:v>
      </x:c>
      <x:c r="J15" s="161" t="n">
        <x:v>1</x:v>
      </x:c>
      <x:c r="K15" s="161" t="n">
        <x:v>4.5</x:v>
      </x:c>
      <x:c r="L15" s="161" t="str">
        <x:v>DISCLOSED</x:v>
      </x:c>
      <x:c r="M15" s="161" t="str">
        <x:v>EVD-001282-0004-01</x:v>
      </x:c>
      <x:c r="N15" s="161" t="n">
        <x:v>35</x:v>
      </x:c>
      <x:c r="O15" s="161" t="n">
        <x:v>36</x:v>
      </x:c>
      <x:c r="P15" s="161" t="str">
        <x:v>资扩股的议案》，议案决定拟将公司的注册资本由8,150万元增加至8,498万元。新增注册资本由新股东三联合伙以每股4.50元的价格认购，其中348万元计入注册资本，剩余1,218万元计入资本公积。本次增资时三联合伙合伙人的岗位及合伙份</x:v>
      </x:c>
      <x:c r="Q15" s="161" t="n">
        <x:v>0.91</x:v>
      </x:c>
      <x:c r="R15" s="161" t="str">
        <x:v>否</x:v>
      </x:c>
      <x:c r="S15" s="167"/>
    </x:row>
    <x:row r="16" ht="30" customHeight="1">
      <x:c r="A16" s="198" t="n">
        <x:v>301581</x:v>
      </x:c>
      <x:c r="B16" s="161" t="str">
        <x:v>黄山谷捷</x:v>
      </x:c>
      <x:c r="C16" s="161" t="str">
        <x:v>NUM-301581-00001</x:v>
      </x:c>
      <x:c r="D16" s="161" t="str">
        <x:v>EVT-301581-0001</x:v>
      </x:c>
      <x:c r="E16" s="161" t="str">
        <x:v>REGISTERED_CAPITAL</x:v>
      </x:c>
      <x:c r="F16" s="161" t="str">
        <x:v>注册资本1,000万元</x:v>
      </x:c>
      <x:c r="G16" s="161" t="n">
        <x:v>1000</x:v>
      </x:c>
      <x:c r="H16" s="161" t="str">
        <x:v>元</x:v>
      </x:c>
      <x:c r="I16" s="161" t="str">
        <x:v>CNY</x:v>
      </x:c>
      <x:c r="J16" s="161" t="n">
        <x:v>10000</x:v>
      </x:c>
      <x:c r="K16" s="161" t="n">
        <x:v>10000000</x:v>
      </x:c>
      <x:c r="L16" s="161" t="str">
        <x:v>DISCLOSED</x:v>
      </x:c>
      <x:c r="M16" s="161" t="str">
        <x:v>EVD-301581-0001-01</x:v>
      </x:c>
      <x:c r="N16" s="161" t="n">
        <x:v>41</x:v>
      </x:c>
      <x:c r="O16" s="161" t="n">
        <x:v>41</x:v>
      </x:c>
      <x:c r="P16" s="161" t="str">
        <x:v>2012年6月，谷捷有限增资2022年9月，整体变更为股份公司注册资本1,000万元，由昆山谷捷出资设立昆山谷捷将其所持谷捷有限78%、11%、11%的股权分别转让给黄山供销集团、张俊武、周斌，</x:v>
      </x:c>
      <x:c r="Q16" s="161" t="n">
        <x:v>0.88</x:v>
      </x:c>
      <x:c r="R16" s="161" t="str">
        <x:v>否</x:v>
      </x:c>
      <x:c r="S16" s="167"/>
    </x:row>
    <x:row r="17" ht="30" customHeight="1">
      <x:c r="A17" s="198" t="n">
        <x:v>301581</x:v>
      </x:c>
      <x:c r="B17" s="161" t="str">
        <x:v>黄山谷捷</x:v>
      </x:c>
      <x:c r="C17" s="161" t="str">
        <x:v>NUM-301581-00002</x:v>
      </x:c>
      <x:c r="D17" s="161" t="str">
        <x:v>EVT-301581-0001</x:v>
      </x:c>
      <x:c r="E17" s="161" t="str">
        <x:v>EQUITY_RATIO</x:v>
      </x:c>
      <x:c r="F17" s="161" t="str">
        <x:v>78%</x:v>
      </x:c>
      <x:c r="G17" s="161" t="n">
        <x:v>78</x:v>
      </x:c>
      <x:c r="H17" s="161" t="str">
        <x:v>%</x:v>
      </x:c>
      <x:c r="I17" s="161"/>
      <x:c r="J17" s="161" t="n">
        <x:v>0.01</x:v>
      </x:c>
      <x:c r="K17" s="161" t="n">
        <x:v>0.78</x:v>
      </x:c>
      <x:c r="L17" s="161" t="str">
        <x:v>DISCLOSED</x:v>
      </x:c>
      <x:c r="M17" s="161" t="str">
        <x:v>EVD-301581-0001-01</x:v>
      </x:c>
      <x:c r="N17" s="161" t="n">
        <x:v>41</x:v>
      </x:c>
      <x:c r="O17" s="161" t="n">
        <x:v>41</x:v>
      </x:c>
      <x:c r="P17" s="161" t="str">
        <x:v>捷有限增资2022年9月，整体变更为股份公司注册资本1,000万元，由昆山谷捷出资设立昆山谷捷将其所持谷捷有限78%、11%、11%的股权分别转让给黄山供销集团、张俊武、周斌，转让后黄山供销集团、张俊武、周斌分别持有78%、1</x:v>
      </x:c>
      <x:c r="Q17" s="161" t="n">
        <x:v>0.76</x:v>
      </x:c>
      <x:c r="R17" s="161" t="str">
        <x:v>否</x:v>
      </x:c>
      <x:c r="S17" s="167"/>
    </x:row>
    <x:row r="18" ht="30" customHeight="1">
      <x:c r="A18" s="198" t="n">
        <x:v>301581</x:v>
      </x:c>
      <x:c r="B18" s="161" t="str">
        <x:v>黄山谷捷</x:v>
      </x:c>
      <x:c r="C18" s="161" t="str">
        <x:v>NUM-301581-00003</x:v>
      </x:c>
      <x:c r="D18" s="161" t="str">
        <x:v>EVT-301581-0001</x:v>
      </x:c>
      <x:c r="E18" s="161" t="str">
        <x:v>EQUITY_RATIO</x:v>
      </x:c>
      <x:c r="F18" s="161" t="str">
        <x:v>11%</x:v>
      </x:c>
      <x:c r="G18" s="161" t="n">
        <x:v>11</x:v>
      </x:c>
      <x:c r="H18" s="161" t="str">
        <x:v>%</x:v>
      </x:c>
      <x:c r="I18" s="161"/>
      <x:c r="J18" s="161" t="n">
        <x:v>0.01</x:v>
      </x:c>
      <x:c r="K18" s="161" t="n">
        <x:v>0.11</x:v>
      </x:c>
      <x:c r="L18" s="161" t="str">
        <x:v>DISCLOSED</x:v>
      </x:c>
      <x:c r="M18" s="161" t="str">
        <x:v>EVD-301581-0001-01</x:v>
      </x:c>
      <x:c r="N18" s="161" t="n">
        <x:v>41</x:v>
      </x:c>
      <x:c r="O18" s="161" t="n">
        <x:v>41</x:v>
      </x:c>
      <x:c r="P18" s="161" t="str">
        <x:v>资2022年9月，整体变更为股份公司注册资本1,000万元，由昆山谷捷出资设立昆山谷捷将其所持谷捷有限78%、11%、11%的股权分别转让给黄山供销集团、张俊武、周斌，转让后黄山供销集团、张俊武、周斌分别持有78%、11%、1</x:v>
      </x:c>
      <x:c r="Q18" s="161" t="n">
        <x:v>0.76</x:v>
      </x:c>
      <x:c r="R18" s="161" t="str">
        <x:v>否</x:v>
      </x:c>
      <x:c r="S18" s="167"/>
    </x:row>
    <x:row r="19" ht="30" customHeight="1">
      <x:c r="A19" s="198" t="n">
        <x:v>301581</x:v>
      </x:c>
      <x:c r="B19" s="161" t="str">
        <x:v>黄山谷捷</x:v>
      </x:c>
      <x:c r="C19" s="161" t="str">
        <x:v>NUM-301581-00001</x:v>
      </x:c>
      <x:c r="D19" s="161" t="str">
        <x:v>EVT-301581-0002</x:v>
      </x:c>
      <x:c r="E19" s="161" t="str">
        <x:v>EQUITY_RATIO</x:v>
      </x:c>
      <x:c r="F19" s="161" t="str">
        <x:v>780.0078.00%</x:v>
      </x:c>
      <x:c r="G19" s="161"/>
      <x:c r="H19" s="161" t="str">
        <x:v>%</x:v>
      </x:c>
      <x:c r="I19" s="161"/>
      <x:c r="J19" s="161" t="n">
        <x:v>0.01</x:v>
      </x:c>
      <x:c r="K19" s="161"/>
      <x:c r="L19" s="161" t="str">
        <x:v>DISCLOSED</x:v>
      </x:c>
      <x:c r="M19" s="161" t="str">
        <x:v>EVD-301581-0002-03</x:v>
      </x:c>
      <x:c r="N19" s="161" t="n">
        <x:v>43</x:v>
      </x:c>
      <x:c r="O19" s="161" t="n">
        <x:v>44</x:v>
      </x:c>
      <x:c r="P19" s="161" t="str">
        <x:v>号股东名称吸收合并前吸收合并后谷捷有限昆山谷捷谷捷有限出资额出资比例出资额出资比例出资额出资比例1黄山供销集团780.0078.00%156.0078.00%936.0078.00%2张俊武110.0011.00%22.0011.00%132.</x:v>
      </x:c>
      <x:c r="Q19" s="161" t="n">
        <x:v>0.76</x:v>
      </x:c>
      <x:c r="R19" s="161" t="str">
        <x:v>否</x:v>
      </x:c>
      <x:c r="S19" s="167"/>
    </x:row>
    <x:row r="20" ht="30" customHeight="1">
      <x:c r="A20" s="198" t="n">
        <x:v>301581</x:v>
      </x:c>
      <x:c r="B20" s="161" t="str">
        <x:v>黄山谷捷</x:v>
      </x:c>
      <x:c r="C20" s="161" t="str">
        <x:v>NUM-301581-00002</x:v>
      </x:c>
      <x:c r="D20" s="161" t="str">
        <x:v>EVT-301581-0002</x:v>
      </x:c>
      <x:c r="E20" s="161" t="str">
        <x:v>EQUITY_RATIO</x:v>
      </x:c>
      <x:c r="F20" s="161" t="str">
        <x:v>156.0078.00%</x:v>
      </x:c>
      <x:c r="G20" s="161"/>
      <x:c r="H20" s="161" t="str">
        <x:v>%</x:v>
      </x:c>
      <x:c r="I20" s="161"/>
      <x:c r="J20" s="161" t="n">
        <x:v>0.01</x:v>
      </x:c>
      <x:c r="K20" s="161"/>
      <x:c r="L20" s="161" t="str">
        <x:v>DISCLOSED</x:v>
      </x:c>
      <x:c r="M20" s="161" t="str">
        <x:v>EVD-301581-0002-03</x:v>
      </x:c>
      <x:c r="N20" s="161" t="n">
        <x:v>43</x:v>
      </x:c>
      <x:c r="O20" s="161" t="n">
        <x:v>44</x:v>
      </x:c>
      <x:c r="P20" s="161" t="str">
        <x:v>合并后谷捷有限昆山谷捷谷捷有限出资额出资比例出资额出资比例出资额出资比例1黄山供销集团780.0078.00%156.0078.00%936.0078.00%2张俊武110.0011.00%22.0011.00%132.0011.00%3周斌1</x:v>
      </x:c>
      <x:c r="Q20" s="161" t="n">
        <x:v>0.76</x:v>
      </x:c>
      <x:c r="R20" s="161" t="str">
        <x:v>否</x:v>
      </x:c>
      <x:c r="S20" s="167"/>
    </x:row>
    <x:row r="21" ht="30" customHeight="1">
      <x:c r="A21" s="198" t="n">
        <x:v>301581</x:v>
      </x:c>
      <x:c r="B21" s="161" t="str">
        <x:v>黄山谷捷</x:v>
      </x:c>
      <x:c r="C21" s="161" t="str">
        <x:v>NUM-301581-00003</x:v>
      </x:c>
      <x:c r="D21" s="161" t="str">
        <x:v>EVT-301581-0002</x:v>
      </x:c>
      <x:c r="E21" s="161" t="str">
        <x:v>EQUITY_RATIO</x:v>
      </x:c>
      <x:c r="F21" s="161" t="str">
        <x:v>936.0078.00%</x:v>
      </x:c>
      <x:c r="G21" s="161"/>
      <x:c r="H21" s="161" t="str">
        <x:v>%</x:v>
      </x:c>
      <x:c r="I21" s="161"/>
      <x:c r="J21" s="161" t="n">
        <x:v>0.01</x:v>
      </x:c>
      <x:c r="K21" s="161"/>
      <x:c r="L21" s="161" t="str">
        <x:v>DISCLOSED</x:v>
      </x:c>
      <x:c r="M21" s="161" t="str">
        <x:v>EVD-301581-0002-03</x:v>
      </x:c>
      <x:c r="N21" s="161" t="n">
        <x:v>43</x:v>
      </x:c>
      <x:c r="O21" s="161" t="n">
        <x:v>44</x:v>
      </x:c>
      <x:c r="P21" s="161" t="str">
        <x:v>捷有限出资额出资比例出资额出资比例出资额出资比例1黄山供销集团780.0078.00%156.0078.00%936.0078.00%2张俊武110.0011.00%22.0011.00%132.0011.00%3周斌110.0011.00%2</x:v>
      </x:c>
      <x:c r="Q21" s="161" t="n">
        <x:v>0.76</x:v>
      </x:c>
      <x:c r="R21" s="161" t="str">
        <x:v>否</x:v>
      </x:c>
      <x:c r="S21" s="167"/>
    </x:row>
    <x:row r="22" ht="30" customHeight="1">
      <x:c r="A22" s="198" t="n">
        <x:v>301581</x:v>
      </x:c>
      <x:c r="B22" s="161" t="str">
        <x:v>黄山谷捷</x:v>
      </x:c>
      <x:c r="C22" s="161" t="str">
        <x:v>NUM-301581-00004</x:v>
      </x:c>
      <x:c r="D22" s="161" t="str">
        <x:v>EVT-301581-0002</x:v>
      </x:c>
      <x:c r="E22" s="161" t="str">
        <x:v>EQUITY_RATIO</x:v>
      </x:c>
      <x:c r="F22" s="161" t="str">
        <x:v>110.0011.00%</x:v>
      </x:c>
      <x:c r="G22" s="161"/>
      <x:c r="H22" s="161" t="str">
        <x:v>%</x:v>
      </x:c>
      <x:c r="I22" s="161"/>
      <x:c r="J22" s="161" t="n">
        <x:v>0.01</x:v>
      </x:c>
      <x:c r="K22" s="161"/>
      <x:c r="L22" s="161" t="str">
        <x:v>DISCLOSED</x:v>
      </x:c>
      <x:c r="M22" s="161" t="str">
        <x:v>EVD-301581-0002-03</x:v>
      </x:c>
      <x:c r="N22" s="161" t="n">
        <x:v>43</x:v>
      </x:c>
      <x:c r="O22" s="161" t="n">
        <x:v>44</x:v>
      </x:c>
      <x:c r="P22" s="161" t="str">
        <x:v>例出资额出资比例1黄山供销集团780.0078.00%156.0078.00%936.0078.00%2张俊武110.0011.00%22.0011.00%132.0011.00%3周斌110.0011.00%22.0011.00%132.00</x:v>
      </x:c>
      <x:c r="Q22" s="161" t="n">
        <x:v>0.76</x:v>
      </x:c>
      <x:c r="R22" s="161" t="str">
        <x:v>否</x:v>
      </x:c>
      <x:c r="S22" s="167"/>
    </x:row>
    <x:row r="23" ht="30" customHeight="1">
      <x:c r="A23" s="198" t="n">
        <x:v>301581</x:v>
      </x:c>
      <x:c r="B23" s="161" t="str">
        <x:v>黄山谷捷</x:v>
      </x:c>
      <x:c r="C23" s="161" t="str">
        <x:v>NUM-301581-00005</x:v>
      </x:c>
      <x:c r="D23" s="161" t="str">
        <x:v>EVT-301581-0002</x:v>
      </x:c>
      <x:c r="E23" s="161" t="str">
        <x:v>EQUITY_RATIO</x:v>
      </x:c>
      <x:c r="F23" s="161" t="str">
        <x:v>22.0011.00%</x:v>
      </x:c>
      <x:c r="G23" s="161"/>
      <x:c r="H23" s="161" t="str">
        <x:v>%</x:v>
      </x:c>
      <x:c r="I23" s="161"/>
      <x:c r="J23" s="161" t="n">
        <x:v>0.01</x:v>
      </x:c>
      <x:c r="K23" s="161"/>
      <x:c r="L23" s="161" t="str">
        <x:v>DISCLOSED</x:v>
      </x:c>
      <x:c r="M23" s="161" t="str">
        <x:v>EVD-301581-0002-03</x:v>
      </x:c>
      <x:c r="N23" s="161" t="n">
        <x:v>43</x:v>
      </x:c>
      <x:c r="O23" s="161" t="n">
        <x:v>44</x:v>
      </x:c>
      <x:c r="P23" s="161" t="str">
        <x:v>销集团780.0078.00%156.0078.00%936.0078.00%2张俊武110.0011.00%22.0011.00%132.0011.00%3周斌110.0011.00%22.0011.00%132.0011.00%合计1,0</x:v>
      </x:c>
      <x:c r="Q23" s="161" t="n">
        <x:v>0.76</x:v>
      </x:c>
      <x:c r="R23" s="161" t="str">
        <x:v>否</x:v>
      </x:c>
      <x:c r="S23" s="167"/>
    </x:row>
    <x:row r="24" ht="30" customHeight="1">
      <x:c r="A24" s="198" t="n">
        <x:v>301581</x:v>
      </x:c>
      <x:c r="B24" s="161" t="str">
        <x:v>黄山谷捷</x:v>
      </x:c>
      <x:c r="C24" s="161" t="str">
        <x:v>NUM-301581-00006</x:v>
      </x:c>
      <x:c r="D24" s="161" t="str">
        <x:v>EVT-301581-0002</x:v>
      </x:c>
      <x:c r="E24" s="161" t="str">
        <x:v>EQUITY_RATIO</x:v>
      </x:c>
      <x:c r="F24" s="161" t="str">
        <x:v>132.0011.00%</x:v>
      </x:c>
      <x:c r="G24" s="161"/>
      <x:c r="H24" s="161" t="str">
        <x:v>%</x:v>
      </x:c>
      <x:c r="I24" s="161"/>
      <x:c r="J24" s="161" t="n">
        <x:v>0.01</x:v>
      </x:c>
      <x:c r="K24" s="161"/>
      <x:c r="L24" s="161" t="str">
        <x:v>DISCLOSED</x:v>
      </x:c>
      <x:c r="M24" s="161" t="str">
        <x:v>EVD-301581-0002-03</x:v>
      </x:c>
      <x:c r="N24" s="161" t="n">
        <x:v>43</x:v>
      </x:c>
      <x:c r="O24" s="161" t="n">
        <x:v>44</x:v>
      </x:c>
      <x:c r="P24" s="161" t="str">
        <x:v>.00%156.0078.00%936.0078.00%2张俊武110.0011.00%22.0011.00%132.0011.00%3周斌110.0011.00%22.0011.00%132.0011.00%合计1,000.00100.00%</x:v>
      </x:c>
      <x:c r="Q24" s="161" t="n">
        <x:v>0.76</x:v>
      </x:c>
      <x:c r="R24" s="161" t="str">
        <x:v>否</x:v>
      </x:c>
      <x:c r="S24" s="167"/>
    </x:row>
    <x:row r="25" ht="30" customHeight="1">
      <x:c r="A25" s="198" t="n">
        <x:v>301581</x:v>
      </x:c>
      <x:c r="B25" s="161" t="str">
        <x:v>黄山谷捷</x:v>
      </x:c>
      <x:c r="C25" s="161" t="str">
        <x:v>NUM-301581-00007</x:v>
      </x:c>
      <x:c r="D25" s="161" t="str">
        <x:v>EVT-301581-0002</x:v>
      </x:c>
      <x:c r="E25" s="161" t="str">
        <x:v>EQUITY_RATIO</x:v>
      </x:c>
      <x:c r="F25" s="161" t="str">
        <x:v>000.00100.00%</x:v>
      </x:c>
      <x:c r="G25" s="161"/>
      <x:c r="H25" s="161" t="str">
        <x:v>%</x:v>
      </x:c>
      <x:c r="I25" s="161"/>
      <x:c r="J25" s="161" t="n">
        <x:v>0.01</x:v>
      </x:c>
      <x:c r="K25" s="161"/>
      <x:c r="L25" s="161" t="str">
        <x:v>DISCLOSED</x:v>
      </x:c>
      <x:c r="M25" s="161" t="str">
        <x:v>EVD-301581-0002-03</x:v>
      </x:c>
      <x:c r="N25" s="161" t="n">
        <x:v>43</x:v>
      </x:c>
      <x:c r="O25" s="161" t="n">
        <x:v>44</x:v>
      </x:c>
      <x:c r="P25" s="161" t="str">
        <x:v>%132.0011.00%3周斌110.0011.00%22.0011.00%132.0011.00%合计1,000.00100.00%200.00100.00%1,200.00100.00%本次吸收合并系同一股权结构下的公司架构调整，吸收合并当</x:v>
      </x:c>
      <x:c r="Q25" s="161" t="n">
        <x:v>0.76</x:v>
      </x:c>
      <x:c r="R25" s="161" t="str">
        <x:v>否</x:v>
      </x:c>
      <x:c r="S25" s="167"/>
    </x:row>
    <x:row r="26" ht="30" customHeight="1">
      <x:c r="A26" s="198" t="n">
        <x:v>301581</x:v>
      </x:c>
      <x:c r="B26" s="161" t="str">
        <x:v>黄山谷捷</x:v>
      </x:c>
      <x:c r="C26" s="161" t="str">
        <x:v>NUM-301581-00008</x:v>
      </x:c>
      <x:c r="D26" s="161" t="str">
        <x:v>EVT-301581-0002</x:v>
      </x:c>
      <x:c r="E26" s="161" t="str">
        <x:v>EQUITY_RATIO</x:v>
      </x:c>
      <x:c r="F26" s="161" t="str">
        <x:v>200.00100.00%</x:v>
      </x:c>
      <x:c r="G26" s="161"/>
      <x:c r="H26" s="161" t="str">
        <x:v>%</x:v>
      </x:c>
      <x:c r="I26" s="161"/>
      <x:c r="J26" s="161" t="n">
        <x:v>0.01</x:v>
      </x:c>
      <x:c r="K26" s="161"/>
      <x:c r="L26" s="161" t="str">
        <x:v>DISCLOSED</x:v>
      </x:c>
      <x:c r="M26" s="161" t="str">
        <x:v>EVD-301581-0002-03</x:v>
      </x:c>
      <x:c r="N26" s="161" t="n">
        <x:v>43</x:v>
      </x:c>
      <x:c r="O26" s="161" t="n">
        <x:v>44</x:v>
      </x:c>
      <x:c r="P26" s="161" t="str">
        <x:v>3周斌110.0011.00%22.0011.00%132.0011.00%合计1,000.00100.00%200.00100.00%1,200.00100.00%本次吸收合并系同一股权结构下的公司架构调整，吸收合并当时未对双方净资产进行评估。</x:v>
      </x:c>
      <x:c r="Q26" s="161" t="n">
        <x:v>0.76</x:v>
      </x:c>
      <x:c r="R26" s="161" t="str">
        <x:v>否</x:v>
      </x:c>
      <x:c r="S26" s="167"/>
    </x:row>
    <x:row r="27" ht="30" customHeight="1">
      <x:c r="A27" s="198" t="n">
        <x:v>301581</x:v>
      </x:c>
      <x:c r="B27" s="161" t="str">
        <x:v>黄山谷捷</x:v>
      </x:c>
      <x:c r="C27" s="161" t="str">
        <x:v>NUM-301581-00001</x:v>
      </x:c>
      <x:c r="D27" s="161" t="str">
        <x:v>EVT-301581-0003</x:v>
      </x:c>
      <x:c r="E27" s="161" t="str">
        <x:v>SHARE_QUANTITY</x:v>
      </x:c>
      <x:c r="F27" s="161" t="str">
        <x:v>，股</x:v>
      </x:c>
      <x:c r="G27" s="161"/>
      <x:c r="H27" s="161" t="str">
        <x:v>股</x:v>
      </x:c>
      <x:c r="I27" s="161"/>
      <x:c r="J27" s="161" t="n">
        <x:v>1</x:v>
      </x:c>
      <x:c r="K27" s="161"/>
      <x:c r="L27" s="161" t="str">
        <x:v>DISCLOSED</x:v>
      </x:c>
      <x:c r="M27" s="161" t="str">
        <x:v>EVD-301581-0003-01</x:v>
      </x:c>
      <x:c r="N27" s="161" t="n">
        <x:v>42</x:v>
      </x:c>
      <x:c r="O27" s="161" t="n">
        <x:v>43</x:v>
      </x:c>
      <x:c r="P27" s="161" t="str">
        <x:v>1.003周斌110.0011.00合计1,000.00100.00本次股权转让系同一股权结构下的公司架构调整，股权转让完成后，黄山供销集团、张俊武、周斌对谷捷有限的持股方式由间接持股变更为直接持股，本次股权转让价格为0元。</x:v>
      </x:c>
      <x:c r="Q27" s="161" t="n">
        <x:v>0.82</x:v>
      </x:c>
      <x:c r="R27" s="161" t="str">
        <x:v>否</x:v>
      </x:c>
      <x:c r="S27" s="167"/>
    </x:row>
    <x:row r="28" ht="30" customHeight="1">
      <x:c r="A28" s="198" t="n">
        <x:v>301581</x:v>
      </x:c>
      <x:c r="B28" s="161" t="str">
        <x:v>黄山谷捷</x:v>
      </x:c>
      <x:c r="C28" s="161" t="str">
        <x:v>NUM-301581-00002</x:v>
      </x:c>
      <x:c r="D28" s="161" t="str">
        <x:v>EVT-301581-0003</x:v>
      </x:c>
      <x:c r="E28" s="161" t="str">
        <x:v>EQUITY_RATIO</x:v>
      </x:c>
      <x:c r="F28" s="161" t="str">
        <x:v>78%</x:v>
      </x:c>
      <x:c r="G28" s="161" t="n">
        <x:v>78</x:v>
      </x:c>
      <x:c r="H28" s="161" t="str">
        <x:v>%</x:v>
      </x:c>
      <x:c r="I28" s="161"/>
      <x:c r="J28" s="161" t="n">
        <x:v>0.01</x:v>
      </x:c>
      <x:c r="K28" s="161" t="n">
        <x:v>0.78</x:v>
      </x:c>
      <x:c r="L28" s="161" t="str">
        <x:v>DISCLOSED</x:v>
      </x:c>
      <x:c r="M28" s="161" t="str">
        <x:v>EVD-301581-0003-01</x:v>
      </x:c>
      <x:c r="N28" s="161" t="n">
        <x:v>42</x:v>
      </x:c>
      <x:c r="O28" s="161" t="n">
        <x:v>43</x:v>
      </x:c>
      <x:c r="P28" s="161" t="str">
        <x:v>山谷捷股权转让以及黄山谷捷吸收合并昆山谷捷的批复》（黄供集团[2020]80号），同意昆山谷捷将其所持谷捷有限78%、11%、11%的股权以零对价分别转让给黄山供销集团、张俊武、周斌。2021年4月3日，谷捷有限股东昆山谷捷作</x:v>
      </x:c>
      <x:c r="Q28" s="161" t="n">
        <x:v>0.76</x:v>
      </x:c>
      <x:c r="R28" s="161" t="str">
        <x:v>否</x:v>
      </x:c>
      <x:c r="S28" s="167"/>
    </x:row>
    <x:row r="29" ht="30" customHeight="1">
      <x:c r="A29" s="198" t="n">
        <x:v>301581</x:v>
      </x:c>
      <x:c r="B29" s="161" t="str">
        <x:v>黄山谷捷</x:v>
      </x:c>
      <x:c r="C29" s="161" t="str">
        <x:v>NUM-301581-00003</x:v>
      </x:c>
      <x:c r="D29" s="161" t="str">
        <x:v>EVT-301581-0003</x:v>
      </x:c>
      <x:c r="E29" s="161" t="str">
        <x:v>EQUITY_RATIO</x:v>
      </x:c>
      <x:c r="F29" s="161" t="str">
        <x:v>11%</x:v>
      </x:c>
      <x:c r="G29" s="161" t="n">
        <x:v>11</x:v>
      </x:c>
      <x:c r="H29" s="161" t="str">
        <x:v>%</x:v>
      </x:c>
      <x:c r="I29" s="161"/>
      <x:c r="J29" s="161" t="n">
        <x:v>0.01</x:v>
      </x:c>
      <x:c r="K29" s="161" t="n">
        <x:v>0.11</x:v>
      </x:c>
      <x:c r="L29" s="161" t="str">
        <x:v>DISCLOSED</x:v>
      </x:c>
      <x:c r="M29" s="161" t="str">
        <x:v>EVD-301581-0003-01</x:v>
      </x:c>
      <x:c r="N29" s="161" t="n">
        <x:v>42</x:v>
      </x:c>
      <x:c r="O29" s="161" t="n">
        <x:v>43</x:v>
      </x:c>
      <x:c r="P29" s="161" t="str">
        <x:v>权转让以及黄山谷捷吸收合并昆山谷捷的批复》（黄供集团[2020]80号），同意昆山谷捷将其所持谷捷有限78%、11%、11%的股权以零对价分别转让给黄山供销集团、张俊武、周斌。2021年4月3日，谷捷有限股东昆山谷捷作出股东决</x:v>
      </x:c>
      <x:c r="Q29" s="161" t="n">
        <x:v>0.76</x:v>
      </x:c>
      <x:c r="R29" s="161" t="str">
        <x:v>否</x:v>
      </x:c>
      <x:c r="S29" s="167"/>
    </x:row>
    <x:row r="30" ht="30" customHeight="1">
      <x:c r="A30" s="198" t="n">
        <x:v>301581</x:v>
      </x:c>
      <x:c r="B30" s="161" t="str">
        <x:v>黄山谷捷</x:v>
      </x:c>
      <x:c r="C30" s="161" t="str">
        <x:v>NUM-301581-00001</x:v>
      </x:c>
      <x:c r="D30" s="161" t="str">
        <x:v>EVT-301581-0004</x:v>
      </x:c>
      <x:c r="E30" s="161" t="str">
        <x:v>REGISTERED_CAPITAL</x:v>
      </x:c>
      <x:c r="F30" s="161" t="str">
        <x:v>注册资本514.2857万元</x:v>
      </x:c>
      <x:c r="G30" s="161" t="n">
        <x:v>514.2857</x:v>
      </x:c>
      <x:c r="H30" s="161" t="str">
        <x:v>元</x:v>
      </x:c>
      <x:c r="I30" s="161" t="str">
        <x:v>CNY</x:v>
      </x:c>
      <x:c r="J30" s="161" t="n">
        <x:v>10000</x:v>
      </x:c>
      <x:c r="K30" s="161" t="n">
        <x:v>5142857</x:v>
      </x:c>
      <x:c r="L30" s="161" t="str">
        <x:v>DISCLOSED</x:v>
      </x:c>
      <x:c r="M30" s="161" t="str">
        <x:v>EVD-301581-0004-01</x:v>
      </x:c>
      <x:c r="N30" s="161" t="n">
        <x:v>44</x:v>
      </x:c>
      <x:c r="O30" s="161" t="n">
        <x:v>45</x:v>
      </x:c>
      <x:c r="P30" s="161" t="str">
        <x:v>技术、上汽科技与黄山供销集团、张俊武、周斌及谷捷有限签署《黄山谷捷散热科技有限公司增资协议》，约定谷捷有限增加注册资本514.2857万元，其中赛格高技术认缴462.8571万元、上汽科技认缴51.4286万元，增资价格为22.42元/注册资本，出</x:v>
      </x:c>
      <x:c r="Q30" s="161" t="n">
        <x:v>0.88</x:v>
      </x:c>
      <x:c r="R30" s="161" t="str">
        <x:v>否</x:v>
      </x:c>
      <x:c r="S30" s="167"/>
    </x:row>
    <x:row r="31" ht="30" customHeight="1">
      <x:c r="A31" s="198" t="n">
        <x:v>301581</x:v>
      </x:c>
      <x:c r="B31" s="161" t="str">
        <x:v>黄山谷捷</x:v>
      </x:c>
      <x:c r="C31" s="161" t="str">
        <x:v>NUM-301581-00002</x:v>
      </x:c>
      <x:c r="D31" s="161" t="str">
        <x:v>EVT-301581-0004</x:v>
      </x:c>
      <x:c r="E31" s="161" t="str">
        <x:v>CAPITAL_INCREASE_AMOUNT</x:v>
      </x:c>
      <x:c r="F31" s="161" t="str">
        <x:v>增加注册资本514.2857万元</x:v>
      </x:c>
      <x:c r="G31" s="161" t="n">
        <x:v>514.2857</x:v>
      </x:c>
      <x:c r="H31" s="161" t="str">
        <x:v>元</x:v>
      </x:c>
      <x:c r="I31" s="161" t="str">
        <x:v>CNY</x:v>
      </x:c>
      <x:c r="J31" s="161" t="n">
        <x:v>10000</x:v>
      </x:c>
      <x:c r="K31" s="161" t="n">
        <x:v>5142857</x:v>
      </x:c>
      <x:c r="L31" s="161" t="str">
        <x:v>DISCLOSED</x:v>
      </x:c>
      <x:c r="M31" s="161" t="str">
        <x:v>EVD-301581-0004-01</x:v>
      </x:c>
      <x:c r="N31" s="161" t="n">
        <x:v>44</x:v>
      </x:c>
      <x:c r="O31" s="161" t="n">
        <x:v>45</x:v>
      </x:c>
      <x:c r="P31" s="161" t="str">
        <x:v>格高技术、上汽科技与黄山供销集团、张俊武、周斌及谷捷有限签署《黄山谷捷散热科技有限公司增资协议》，约定谷捷有限增加注册资本514.2857万元，其中赛格高技术认缴462.8571万元、上汽科技认缴51.4286万元，增资价格为22.42元/注册资本，出</x:v>
      </x:c>
      <x:c r="Q31" s="161" t="n">
        <x:v>0.92</x:v>
      </x:c>
      <x:c r="R31" s="161" t="str">
        <x:v>否</x:v>
      </x:c>
      <x:c r="S31" s="167"/>
    </x:row>
    <x:row r="32" ht="30" customHeight="1">
      <x:c r="A32" s="198" t="n">
        <x:v>301581</x:v>
      </x:c>
      <x:c r="B32" s="161" t="str">
        <x:v>黄山谷捷</x:v>
      </x:c>
      <x:c r="C32" s="161" t="str">
        <x:v>NUM-301581-00001</x:v>
      </x:c>
      <x:c r="D32" s="161" t="str">
        <x:v>EVT-301581-0005</x:v>
      </x:c>
      <x:c r="E32" s="161" t="str">
        <x:v>REGISTERED_CAPITAL_BEFORE</x:v>
      </x:c>
      <x:c r="F32" s="161" t="str">
        <x:v>注册资本由1,714.2857万元</x:v>
      </x:c>
      <x:c r="G32" s="161" t="n">
        <x:v>1714.2857</x:v>
      </x:c>
      <x:c r="H32" s="161" t="str">
        <x:v>元</x:v>
      </x:c>
      <x:c r="I32" s="161" t="str">
        <x:v>CNY</x:v>
      </x:c>
      <x:c r="J32" s="161" t="n">
        <x:v>10000</x:v>
      </x:c>
      <x:c r="K32" s="161" t="n">
        <x:v>17142857</x:v>
      </x:c>
      <x:c r="L32" s="161" t="str">
        <x:v>DISCLOSED</x:v>
      </x:c>
      <x:c r="M32" s="161" t="str">
        <x:v>EVD-301581-0005-01</x:v>
      </x:c>
      <x:c r="N32" s="161" t="n">
        <x:v>45</x:v>
      </x:c>
      <x:c r="O32" s="161" t="n">
        <x:v>45</x:v>
      </x:c>
      <x:c r="P32" s="161" t="str">
        <x:v>集团[2022]27号），同意谷捷有限实施员工股权激励。2022年5月20日，谷捷有限召开股东会，同意将公司的注册资本由1,714.2857万元增至1,804.5113万元，新增注册资本90.2256万元由员工持股平台黄山佳捷全额认缴。2022年5月24</x:v>
      </x:c>
      <x:c r="Q32" s="161" t="n">
        <x:v>0.94</x:v>
      </x:c>
      <x:c r="R32" s="161" t="str">
        <x:v>否</x:v>
      </x:c>
      <x:c r="S32" s="167"/>
    </x:row>
    <x:row r="33" ht="30" customHeight="1">
      <x:c r="A33" s="198" t="n">
        <x:v>301581</x:v>
      </x:c>
      <x:c r="B33" s="161" t="str">
        <x:v>黄山谷捷</x:v>
      </x:c>
      <x:c r="C33" s="161" t="str">
        <x:v>NUM-301581-00002</x:v>
      </x:c>
      <x:c r="D33" s="161" t="str">
        <x:v>EVT-301581-0005</x:v>
      </x:c>
      <x:c r="E33" s="161" t="str">
        <x:v>REGISTERED_CAPITAL_AFTER</x:v>
      </x:c>
      <x:c r="F33" s="161" t="str">
        <x:v>注册资本由1,714.2857万元增至1,804.5113万元</x:v>
      </x:c>
      <x:c r="G33" s="161" t="n">
        <x:v>1804.5113</x:v>
      </x:c>
      <x:c r="H33" s="161" t="str">
        <x:v>元</x:v>
      </x:c>
      <x:c r="I33" s="161" t="str">
        <x:v>CNY</x:v>
      </x:c>
      <x:c r="J33" s="161" t="n">
        <x:v>10000</x:v>
      </x:c>
      <x:c r="K33" s="161" t="n">
        <x:v>18045113</x:v>
      </x:c>
      <x:c r="L33" s="161" t="str">
        <x:v>DISCLOSED</x:v>
      </x:c>
      <x:c r="M33" s="161" t="str">
        <x:v>EVD-301581-0005-01</x:v>
      </x:c>
      <x:c r="N33" s="161" t="n">
        <x:v>45</x:v>
      </x:c>
      <x:c r="O33" s="161" t="n">
        <x:v>45</x:v>
      </x:c>
      <x:c r="P33" s="161" t="str">
        <x:v>集团[2022]27号），同意谷捷有限实施员工股权激励。2022年5月20日，谷捷有限召开股东会，同意将公司的注册资本由1,714.2857万元增至1,804.5113万元，新增注册资本90.2256万元由员工持股平台黄山佳捷全额认缴。2022年5月24日，谷捷有限与黄山佳捷签署《</x:v>
      </x:c>
      <x:c r="Q33" s="161" t="n">
        <x:v>0.96</x:v>
      </x:c>
      <x:c r="R33" s="161" t="str">
        <x:v>否</x:v>
      </x:c>
      <x:c r="S33" s="167"/>
    </x:row>
    <x:row r="34" ht="30" customHeight="1">
      <x:c r="A34" s="198" t="n">
        <x:v>301581</x:v>
      </x:c>
      <x:c r="B34" s="161" t="str">
        <x:v>黄山谷捷</x:v>
      </x:c>
      <x:c r="C34" s="161" t="str">
        <x:v>NUM-301581-00003</x:v>
      </x:c>
      <x:c r="D34" s="161" t="str">
        <x:v>EVT-301581-0005</x:v>
      </x:c>
      <x:c r="E34" s="161" t="str">
        <x:v>REGISTERED_CAPITAL</x:v>
      </x:c>
      <x:c r="F34" s="161" t="str">
        <x:v>注册资本90.2256万元</x:v>
      </x:c>
      <x:c r="G34" s="161" t="n">
        <x:v>90.2256</x:v>
      </x:c>
      <x:c r="H34" s="161" t="str">
        <x:v>元</x:v>
      </x:c>
      <x:c r="I34" s="161" t="str">
        <x:v>CNY</x:v>
      </x:c>
      <x:c r="J34" s="161" t="n">
        <x:v>10000</x:v>
      </x:c>
      <x:c r="K34" s="161" t="n">
        <x:v>902256</x:v>
      </x:c>
      <x:c r="L34" s="161" t="str">
        <x:v>DISCLOSED</x:v>
      </x:c>
      <x:c r="M34" s="161" t="str">
        <x:v>EVD-301581-0005-01</x:v>
      </x:c>
      <x:c r="N34" s="161" t="n">
        <x:v>45</x:v>
      </x:c>
      <x:c r="O34" s="161" t="n">
        <x:v>45</x:v>
      </x:c>
      <x:c r="P34" s="161" t="str">
        <x:v>月20日，谷捷有限召开股东会，同意将公司的注册资本由1,714.2857万元增至1,804.5113万元，新增注册资本90.2256万元由员工持股平台黄山佳捷全额认缴。2022年5月24日，谷捷有限与黄山佳捷签署《黄山谷捷散热科技有限公司增资扩股</x:v>
      </x:c>
      <x:c r="Q34" s="161" t="n">
        <x:v>0.88</x:v>
      </x:c>
      <x:c r="R34" s="161" t="str">
        <x:v>否</x:v>
      </x:c>
      <x:c r="S34" s="167"/>
    </x:row>
    <x:row r="35" ht="30" customHeight="1">
      <x:c r="A35" s="198" t="n">
        <x:v>301581</x:v>
      </x:c>
      <x:c r="B35" s="161" t="str">
        <x:v>黄山谷捷</x:v>
      </x:c>
      <x:c r="C35" s="161" t="str">
        <x:v>NUM-301581-00004</x:v>
      </x:c>
      <x:c r="D35" s="161" t="str">
        <x:v>EVT-301581-0005</x:v>
      </x:c>
      <x:c r="E35" s="161" t="str">
        <x:v>CAPITAL_INCREASE_AMOUNT</x:v>
      </x:c>
      <x:c r="F35" s="161" t="str">
        <x:v>新增注册资本90.2256万元</x:v>
      </x:c>
      <x:c r="G35" s="161" t="n">
        <x:v>90.2256</x:v>
      </x:c>
      <x:c r="H35" s="161" t="str">
        <x:v>元</x:v>
      </x:c>
      <x:c r="I35" s="161" t="str">
        <x:v>CNY</x:v>
      </x:c>
      <x:c r="J35" s="161" t="n">
        <x:v>10000</x:v>
      </x:c>
      <x:c r="K35" s="161" t="n">
        <x:v>902256</x:v>
      </x:c>
      <x:c r="L35" s="161" t="str">
        <x:v>DISCLOSED</x:v>
      </x:c>
      <x:c r="M35" s="161" t="str">
        <x:v>EVD-301581-0005-01</x:v>
      </x:c>
      <x:c r="N35" s="161" t="n">
        <x:v>45</x:v>
      </x:c>
      <x:c r="O35" s="161" t="n">
        <x:v>45</x:v>
      </x:c>
      <x:c r="P35" s="161" t="str">
        <x:v>年5月20日，谷捷有限召开股东会，同意将公司的注册资本由1,714.2857万元增至1,804.5113万元，新增注册资本90.2256万元由员工持股平台黄山佳捷全额认缴。2022年5月24日，谷捷有限与黄山佳捷签署《黄山谷捷散热科技有限公司增资扩股</x:v>
      </x:c>
      <x:c r="Q35" s="161" t="n">
        <x:v>0.92</x:v>
      </x:c>
      <x:c r="R35" s="161" t="str">
        <x:v>否</x:v>
      </x:c>
      <x:c r="S35" s="167"/>
    </x:row>
    <x:row r="36" ht="30" customHeight="1">
      <x:c r="A36" s="198" t="n">
        <x:v>603418</x:v>
      </x:c>
      <x:c r="B36" s="161" t="str">
        <x:v>友升股份</x:v>
      </x:c>
      <x:c r="C36" s="161" t="str">
        <x:v>NUM-603418-00001</x:v>
      </x:c>
      <x:c r="D36" s="161" t="str">
        <x:v>EVT-603418-0001</x:v>
      </x:c>
      <x:c r="E36" s="161" t="str">
        <x:v>EQUITY_RATIO</x:v>
      </x:c>
      <x:c r="F36" s="161" t="str">
        <x:v>240.0060.00%</x:v>
      </x:c>
      <x:c r="G36" s="161"/>
      <x:c r="H36" s="161" t="str">
        <x:v>%</x:v>
      </x:c>
      <x:c r="I36" s="161"/>
      <x:c r="J36" s="161" t="n">
        <x:v>0.01</x:v>
      </x:c>
      <x:c r="K36" s="161"/>
      <x:c r="L36" s="161" t="str">
        <x:v>DISCLOSED</x:v>
      </x:c>
      <x:c r="M36" s="161" t="str">
        <x:v>EVD-603418-0001-01</x:v>
      </x:c>
      <x:c r="N36" s="161" t="n">
        <x:v>41</x:v>
      </x:c>
      <x:c r="O36" s="161" t="n">
        <x:v>42</x:v>
      </x:c>
      <x:c r="P36" s="161" t="str">
        <x:v>0号），友升有限正式成立。友升有限设立时股东及出资情况如下：序号股东名称出资额（万美元）出资比例1徐泾工业公司240.0060.00%2友升太平洋美国160.0040.00%合计400.00100.00%上海青浦会计师事务所分别于1993年8月</x:v>
      </x:c>
      <x:c r="Q36" s="161" t="n">
        <x:v>0.76</x:v>
      </x:c>
      <x:c r="R36" s="161" t="str">
        <x:v>否</x:v>
      </x:c>
      <x:c r="S36" s="167"/>
    </x:row>
    <x:row r="37" ht="30" customHeight="1">
      <x:c r="A37" s="198" t="n">
        <x:v>603418</x:v>
      </x:c>
      <x:c r="B37" s="161" t="str">
        <x:v>友升股份</x:v>
      </x:c>
      <x:c r="C37" s="161" t="str">
        <x:v>NUM-603418-00002</x:v>
      </x:c>
      <x:c r="D37" s="161" t="str">
        <x:v>EVT-603418-0001</x:v>
      </x:c>
      <x:c r="E37" s="161" t="str">
        <x:v>EQUITY_RATIO</x:v>
      </x:c>
      <x:c r="F37" s="161" t="str">
        <x:v>160.0040.00%</x:v>
      </x:c>
      <x:c r="G37" s="161"/>
      <x:c r="H37" s="161" t="str">
        <x:v>%</x:v>
      </x:c>
      <x:c r="I37" s="161"/>
      <x:c r="J37" s="161" t="n">
        <x:v>0.01</x:v>
      </x:c>
      <x:c r="K37" s="161"/>
      <x:c r="L37" s="161" t="str">
        <x:v>DISCLOSED</x:v>
      </x:c>
      <x:c r="M37" s="161" t="str">
        <x:v>EVD-603418-0001-01</x:v>
      </x:c>
      <x:c r="N37" s="161" t="n">
        <x:v>41</x:v>
      </x:c>
      <x:c r="O37" s="161" t="n">
        <x:v>42</x:v>
      </x:c>
      <x:c r="P37" s="161" t="str">
        <x:v>股东及出资情况如下：序号股东名称出资额（万美元）出资比例1徐泾工业公司240.0060.00%2友升太平洋美国160.0040.00%合计400.00100.00%上海青浦会计师事务所分别于1993年8月20日、1996年12月31日出具资志字</x:v>
      </x:c>
      <x:c r="Q37" s="161" t="n">
        <x:v>0.76</x:v>
      </x:c>
      <x:c r="R37" s="161" t="str">
        <x:v>否</x:v>
      </x:c>
      <x:c r="S37" s="167"/>
    </x:row>
    <x:row r="38" ht="30" customHeight="1">
      <x:c r="A38" s="198" t="n">
        <x:v>603418</x:v>
      </x:c>
      <x:c r="B38" s="161" t="str">
        <x:v>友升股份</x:v>
      </x:c>
      <x:c r="C38" s="161" t="str">
        <x:v>NUM-603418-00003</x:v>
      </x:c>
      <x:c r="D38" s="161" t="str">
        <x:v>EVT-603418-0001</x:v>
      </x:c>
      <x:c r="E38" s="161" t="str">
        <x:v>EQUITY_RATIO</x:v>
      </x:c>
      <x:c r="F38" s="161" t="str">
        <x:v>400.00100.00%</x:v>
      </x:c>
      <x:c r="G38" s="161"/>
      <x:c r="H38" s="161" t="str">
        <x:v>%</x:v>
      </x:c>
      <x:c r="I38" s="161"/>
      <x:c r="J38" s="161" t="n">
        <x:v>0.01</x:v>
      </x:c>
      <x:c r="K38" s="161"/>
      <x:c r="L38" s="161" t="str">
        <x:v>DISCLOSED</x:v>
      </x:c>
      <x:c r="M38" s="161" t="str">
        <x:v>EVD-603418-0001-01</x:v>
      </x:c>
      <x:c r="N38" s="161" t="n">
        <x:v>41</x:v>
      </x:c>
      <x:c r="O38" s="161" t="n">
        <x:v>42</x:v>
      </x:c>
      <x:c r="P38" s="161" t="str">
        <x:v>名称出资额（万美元）出资比例1徐泾工业公司240.0060.00%2友升太平洋美国160.0040.00%合计400.00100.00%上海青浦会计师事务所分别于1993年8月20日、1996年12月31日出具资志字第93088号《验资报告》和9</x:v>
      </x:c>
      <x:c r="Q38" s="161" t="n">
        <x:v>0.76</x:v>
      </x:c>
      <x:c r="R38" s="161" t="str">
        <x:v>否</x:v>
      </x:c>
      <x:c r="S38" s="167"/>
    </x:row>
    <x:row r="39" ht="30" customHeight="1">
      <x:c r="A39" s="198" t="n">
        <x:v>603418</x:v>
      </x:c>
      <x:c r="B39" s="161" t="str">
        <x:v>友升股份</x:v>
      </x:c>
      <x:c r="C39" s="161" t="str">
        <x:v>NUM-603418-00001</x:v>
      </x:c>
      <x:c r="D39" s="161" t="str">
        <x:v>EVT-603418-0002</x:v>
      </x:c>
      <x:c r="E39" s="161" t="str">
        <x:v>EQUITY_RATIO</x:v>
      </x:c>
      <x:c r="F39" s="161" t="str">
        <x:v>976.0074.80%</x:v>
      </x:c>
      <x:c r="G39" s="161"/>
      <x:c r="H39" s="161" t="str">
        <x:v>%</x:v>
      </x:c>
      <x:c r="I39" s="161"/>
      <x:c r="J39" s="161" t="n">
        <x:v>0.01</x:v>
      </x:c>
      <x:c r="K39" s="161"/>
      <x:c r="L39" s="161" t="str">
        <x:v>DISCLOSED</x:v>
      </x:c>
      <x:c r="M39" s="161" t="str">
        <x:v>EVD-603418-0003-01</x:v>
      </x:c>
      <x:c r="N39" s="161" t="n">
        <x:v>42</x:v>
      </x:c>
      <x:c r="O39" s="161" t="n">
        <x:v>43</x:v>
      </x:c>
      <x:c r="P39" s="161" t="str">
        <x:v>85X1），友升股份正式成立。公司整体变更设立时的股权结构如下：序号股东名称股份（万股）持股比例1泽升贸易8,976.0074.80%2达晨创联基金1,800.0015.00%3共青城泽升1,020.008.50%4罗世兵204.001.70%</x:v>
      </x:c>
      <x:c r="Q39" s="161" t="n">
        <x:v>0.76</x:v>
      </x:c>
      <x:c r="R39" s="161" t="str">
        <x:v>否</x:v>
      </x:c>
      <x:c r="S39" s="167"/>
    </x:row>
    <x:row r="40" ht="30" customHeight="1">
      <x:c r="A40" s="198" t="n">
        <x:v>603418</x:v>
      </x:c>
      <x:c r="B40" s="161" t="str">
        <x:v>友升股份</x:v>
      </x:c>
      <x:c r="C40" s="161" t="str">
        <x:v>NUM-603418-00002</x:v>
      </x:c>
      <x:c r="D40" s="161" t="str">
        <x:v>EVT-603418-0002</x:v>
      </x:c>
      <x:c r="E40" s="161" t="str">
        <x:v>EQUITY_RATIO</x:v>
      </x:c>
      <x:c r="F40" s="161" t="str">
        <x:v>800.0015.00%</x:v>
      </x:c>
      <x:c r="G40" s="161"/>
      <x:c r="H40" s="161" t="str">
        <x:v>%</x:v>
      </x:c>
      <x:c r="I40" s="161"/>
      <x:c r="J40" s="161" t="n">
        <x:v>0.01</x:v>
      </x:c>
      <x:c r="K40" s="161"/>
      <x:c r="L40" s="161" t="str">
        <x:v>DISCLOSED</x:v>
      </x:c>
      <x:c r="M40" s="161" t="str">
        <x:v>EVD-603418-0003-01</x:v>
      </x:c>
      <x:c r="N40" s="161" t="n">
        <x:v>42</x:v>
      </x:c>
      <x:c r="O40" s="161" t="n">
        <x:v>43</x:v>
      </x:c>
      <x:c r="P40" s="161" t="str">
        <x:v>设立时的股权结构如下：序号股东名称股份（万股）持股比例1泽升贸易8,976.0074.80%2达晨创联基金1,800.0015.00%3共青城泽升1,020.008.50%4罗世兵204.001.70%合计12,000.00100.00%根据会</x:v>
      </x:c>
      <x:c r="Q40" s="161" t="n">
        <x:v>0.76</x:v>
      </x:c>
      <x:c r="R40" s="161" t="str">
        <x:v>否</x:v>
      </x:c>
      <x:c r="S40" s="167"/>
    </x:row>
    <x:row r="41" ht="30" customHeight="1">
      <x:c r="A41" s="198" t="n">
        <x:v>603418</x:v>
      </x:c>
      <x:c r="B41" s="161" t="str">
        <x:v>友升股份</x:v>
      </x:c>
      <x:c r="C41" s="161" t="str">
        <x:v>NUM-603418-00003</x:v>
      </x:c>
      <x:c r="D41" s="161" t="str">
        <x:v>EVT-603418-0002</x:v>
      </x:c>
      <x:c r="E41" s="161" t="str">
        <x:v>EQUITY_RATIO</x:v>
      </x:c>
      <x:c r="F41" s="161" t="str">
        <x:v>020.008.50%</x:v>
      </x:c>
      <x:c r="G41" s="161"/>
      <x:c r="H41" s="161" t="str">
        <x:v>%</x:v>
      </x:c>
      <x:c r="I41" s="161"/>
      <x:c r="J41" s="161" t="n">
        <x:v>0.01</x:v>
      </x:c>
      <x:c r="K41" s="161"/>
      <x:c r="L41" s="161" t="str">
        <x:v>DISCLOSED</x:v>
      </x:c>
      <x:c r="M41" s="161" t="str">
        <x:v>EVD-603418-0003-01</x:v>
      </x:c>
      <x:c r="N41" s="161" t="n">
        <x:v>42</x:v>
      </x:c>
      <x:c r="O41" s="161" t="n">
        <x:v>43</x:v>
      </x:c>
      <x:c r="P41" s="161" t="str">
        <x:v>万股）持股比例1泽升贸易8,976.0074.80%2达晨创联基金1,800.0015.00%3共青城泽升1,020.008.50%4罗世兵204.001.70%合计12,000.00100.00%根据会计师出具的《上海友升铝业股份有限公司前</x:v>
      </x:c>
      <x:c r="Q41" s="161" t="n">
        <x:v>0.76</x:v>
      </x:c>
      <x:c r="R41" s="161" t="str">
        <x:v>否</x:v>
      </x:c>
      <x:c r="S41" s="167"/>
    </x:row>
    <x:row r="42" ht="30" customHeight="1">
      <x:c r="A42" s="198" t="n">
        <x:v>603418</x:v>
      </x:c>
      <x:c r="B42" s="161" t="str">
        <x:v>友升股份</x:v>
      </x:c>
      <x:c r="C42" s="161" t="str">
        <x:v>NUM-603418-00004</x:v>
      </x:c>
      <x:c r="D42" s="161" t="str">
        <x:v>EVT-603418-0002</x:v>
      </x:c>
      <x:c r="E42" s="161" t="str">
        <x:v>EQUITY_RATIO</x:v>
      </x:c>
      <x:c r="F42" s="161" t="str">
        <x:v>204.001.70%</x:v>
      </x:c>
      <x:c r="G42" s="161"/>
      <x:c r="H42" s="161" t="str">
        <x:v>%</x:v>
      </x:c>
      <x:c r="I42" s="161"/>
      <x:c r="J42" s="161" t="n">
        <x:v>0.01</x:v>
      </x:c>
      <x:c r="K42" s="161"/>
      <x:c r="L42" s="161" t="str">
        <x:v>DISCLOSED</x:v>
      </x:c>
      <x:c r="M42" s="161" t="str">
        <x:v>EVD-603418-0003-01</x:v>
      </x:c>
      <x:c r="N42" s="161" t="n">
        <x:v>42</x:v>
      </x:c>
      <x:c r="O42" s="161" t="n">
        <x:v>43</x:v>
      </x:c>
      <x:c r="P42" s="161" t="str">
        <x:v>76.0074.80%2达晨创联基金1,800.0015.00%3共青城泽升1,020.008.50%4罗世兵204.001.70%合计12,000.00100.00%根据会计师出具的《上海友升铝业股份有限公司前期差错更正对股改基准日净资产影</x:v>
      </x:c>
      <x:c r="Q42" s="161" t="n">
        <x:v>0.76</x:v>
      </x:c>
      <x:c r="R42" s="161" t="str">
        <x:v>否</x:v>
      </x:c>
      <x:c r="S42" s="167"/>
    </x:row>
    <x:row r="43" ht="30" customHeight="1">
      <x:c r="A43" s="198" t="n">
        <x:v>603418</x:v>
      </x:c>
      <x:c r="B43" s="161" t="str">
        <x:v>友升股份</x:v>
      </x:c>
      <x:c r="C43" s="161" t="str">
        <x:v>NUM-603418-00005</x:v>
      </x:c>
      <x:c r="D43" s="161" t="str">
        <x:v>EVT-603418-0002</x:v>
      </x:c>
      <x:c r="E43" s="161" t="str">
        <x:v>EQUITY_RATIO</x:v>
      </x:c>
      <x:c r="F43" s="161" t="str">
        <x:v>000.00100.00%</x:v>
      </x:c>
      <x:c r="G43" s="161"/>
      <x:c r="H43" s="161" t="str">
        <x:v>%</x:v>
      </x:c>
      <x:c r="I43" s="161"/>
      <x:c r="J43" s="161" t="n">
        <x:v>0.01</x:v>
      </x:c>
      <x:c r="K43" s="161"/>
      <x:c r="L43" s="161" t="str">
        <x:v>DISCLOSED</x:v>
      </x:c>
      <x:c r="M43" s="161" t="str">
        <x:v>EVD-603418-0003-01</x:v>
      </x:c>
      <x:c r="N43" s="161" t="n">
        <x:v>42</x:v>
      </x:c>
      <x:c r="O43" s="161" t="n">
        <x:v>43</x:v>
      </x:c>
      <x:c r="P43" s="161" t="str">
        <x:v>基金1,800.0015.00%3共青城泽升1,020.008.50%4罗世兵204.001.70%合计12,000.00100.00%根据会计师出具的《上海友升铝业股份有限公司前期差错更正对股改基准日净资产影响的说明》，对整体变更基准日财务报表</x:v>
      </x:c>
      <x:c r="Q43" s="161" t="n">
        <x:v>0.76</x:v>
      </x:c>
      <x:c r="R43" s="161" t="str">
        <x:v>否</x:v>
      </x:c>
      <x:c r="S43" s="167"/>
    </x:row>
    <x:row r="44" ht="30" customHeight="1">
      <x:c r="A44" s="198" t="n">
        <x:v>603418</x:v>
      </x:c>
      <x:c r="B44" s="161" t="str">
        <x:v>友升股份</x:v>
      </x:c>
      <x:c r="C44" s="161" t="str">
        <x:v>NUM-603418-00006</x:v>
      </x:c>
      <x:c r="D44" s="161" t="str">
        <x:v>EVT-603418-0002</x:v>
      </x:c>
      <x:c r="E44" s="161" t="str">
        <x:v>NET_ASSET_VALUE</x:v>
      </x:c>
      <x:c r="F44" s="161" t="str">
        <x:v>净资产为40,482.37万元</x:v>
      </x:c>
      <x:c r="G44" s="161" t="n">
        <x:v>40482.37</x:v>
      </x:c>
      <x:c r="H44" s="161" t="str">
        <x:v>元</x:v>
      </x:c>
      <x:c r="I44" s="161" t="str">
        <x:v>CNY</x:v>
      </x:c>
      <x:c r="J44" s="161" t="n">
        <x:v>10000</x:v>
      </x:c>
      <x:c r="K44" s="161" t="n">
        <x:v>404823700</x:v>
      </x:c>
      <x:c r="L44" s="161" t="str">
        <x:v>DISCLOSED</x:v>
      </x:c>
      <x:c r="M44" s="161" t="str">
        <x:v>EVD-603418-0003-01</x:v>
      </x:c>
      <x:c r="N44" s="161" t="n">
        <x:v>42</x:v>
      </x:c>
      <x:c r="O44" s="161" t="n">
        <x:v>43</x:v>
      </x:c>
      <x:c r="P44" s="161" t="str">
        <x:v>立情况公司由上海友升铝业有限公司整体变更设立。根据会计师出具的《审计报告》，友升有限截至2020年5月31日的净资产为40,482.37万元。沃克森评估于2020年7月23日出具了沃克森评报字（2020）第1025号《上海友升铝业有限公司拟变更设立股</x:v>
      </x:c>
      <x:c r="Q44" s="161" t="n">
        <x:v>0.86</x:v>
      </x:c>
      <x:c r="R44" s="161" t="str">
        <x:v>否</x:v>
      </x:c>
      <x:c r="S44" s="167"/>
    </x:row>
    <x:row r="45" ht="30" customHeight="1">
      <x:c r="A45" s="198" t="n">
        <x:v>603418</x:v>
      </x:c>
      <x:c r="B45" s="161" t="str">
        <x:v>友升股份</x:v>
      </x:c>
      <x:c r="C45" s="161" t="str">
        <x:v>NUM-603418-00007</x:v>
      </x:c>
      <x:c r="D45" s="161" t="str">
        <x:v>EVT-603418-0002</x:v>
      </x:c>
      <x:c r="E45" s="161" t="str">
        <x:v>NET_ASSET_VALUE</x:v>
      </x:c>
      <x:c r="F45" s="161" t="str">
        <x:v>净资产为40,437.44万元</x:v>
      </x:c>
      <x:c r="G45" s="161" t="n">
        <x:v>40437.44</x:v>
      </x:c>
      <x:c r="H45" s="161" t="str">
        <x:v>元</x:v>
      </x:c>
      <x:c r="I45" s="161" t="str">
        <x:v>CNY</x:v>
      </x:c>
      <x:c r="J45" s="161" t="n">
        <x:v>10000</x:v>
      </x:c>
      <x:c r="K45" s="161" t="n">
        <x:v>404374400</x:v>
      </x:c>
      <x:c r="L45" s="161" t="str">
        <x:v>DISCLOSED</x:v>
      </x:c>
      <x:c r="M45" s="161" t="str">
        <x:v>EVD-603418-0003-01</x:v>
      </x:c>
      <x:c r="N45" s="161" t="n">
        <x:v>42</x:v>
      </x:c>
      <x:c r="O45" s="161" t="n">
        <x:v>43</x:v>
      </x:c>
      <x:c r="P45" s="161" t="str">
        <x:v>表进行了追溯调整。因收入跨期、成本调整等事项，导致友升有限于整体变更基准日的净资产调减44.93万元，调整后的净资产为40,437.44万元。沃克森评估于2023年11月18日出具了《评估结果变动情况的专项说明》，友升有限截至2020年5月31日的净</x:v>
      </x:c>
      <x:c r="Q45" s="161" t="n">
        <x:v>0.86</x:v>
      </x:c>
      <x:c r="R45" s="161" t="str">
        <x:v>否</x:v>
      </x:c>
      <x:c r="S45" s="167"/>
    </x:row>
    <x:row r="46" ht="30" customHeight="1">
      <x:c r="A46" s="198" t="n">
        <x:v>603418</x:v>
      </x:c>
      <x:c r="B46" s="161" t="str">
        <x:v>友升股份</x:v>
      </x:c>
      <x:c r="C46" s="161" t="str">
        <x:v>NUM-603418-00008</x:v>
      </x:c>
      <x:c r="D46" s="161" t="str">
        <x:v>EVT-603418-0002</x:v>
      </x:c>
      <x:c r="E46" s="161" t="str">
        <x:v>APPRAISED_VALUE</x:v>
      </x:c>
      <x:c r="F46" s="161" t="str">
        <x:v>评估值为48,659.65万元</x:v>
      </x:c>
      <x:c r="G46" s="161" t="n">
        <x:v>48659.65</x:v>
      </x:c>
      <x:c r="H46" s="161" t="str">
        <x:v>元</x:v>
      </x:c>
      <x:c r="I46" s="161" t="str">
        <x:v>CNY</x:v>
      </x:c>
      <x:c r="J46" s="161" t="n">
        <x:v>10000</x:v>
      </x:c>
      <x:c r="K46" s="161" t="n">
        <x:v>486596500</x:v>
      </x:c>
      <x:c r="L46" s="161" t="str">
        <x:v>DISCLOSED</x:v>
      </x:c>
      <x:c r="M46" s="161" t="str">
        <x:v>EVD-603418-0003-01</x:v>
      </x:c>
      <x:c r="N46" s="161" t="n">
        <x:v>42</x:v>
      </x:c>
      <x:c r="O46" s="161" t="n">
        <x:v>43</x:v>
      </x:c>
      <x:c r="P46" s="161" t="str">
        <x:v>公司涉及的上海友升铝业有限公司净资产资产评估报告》，根据该评估报告，截至2020年5月31日，友升有限的净资产评估值为48,659.65万元。2020年7月27日，友升有限股东会作出决议，同意根据会计师出具的《审计报告》，以友升有限截至2020年5月</x:v>
      </x:c>
      <x:c r="Q46" s="161" t="n">
        <x:v>0.84</x:v>
      </x:c>
      <x:c r="R46" s="161" t="str">
        <x:v>否</x:v>
      </x:c>
      <x:c r="S46" s="167"/>
    </x:row>
    <x:row r="47" ht="30" customHeight="1">
      <x:c r="A47" s="198" t="n">
        <x:v>603418</x:v>
      </x:c>
      <x:c r="B47" s="161" t="str">
        <x:v>友升股份</x:v>
      </x:c>
      <x:c r="C47" s="161" t="str">
        <x:v>NUM-603418-00009</x:v>
      </x:c>
      <x:c r="D47" s="161" t="str">
        <x:v>EVT-603418-0002</x:v>
      </x:c>
      <x:c r="E47" s="161" t="str">
        <x:v>SHARE_QUANTITY</x:v>
      </x:c>
      <x:c r="F47" s="161" t="str">
        <x:v>，股</x:v>
      </x:c>
      <x:c r="G47" s="161"/>
      <x:c r="H47" s="161" t="str">
        <x:v>股</x:v>
      </x:c>
      <x:c r="I47" s="161"/>
      <x:c r="J47" s="161" t="n">
        <x:v>1</x:v>
      </x:c>
      <x:c r="K47" s="161"/>
      <x:c r="L47" s="161" t="str">
        <x:v>DISCLOSED</x:v>
      </x:c>
      <x:c r="M47" s="161" t="str">
        <x:v>EVD-603418-0003-02</x:v>
      </x:c>
      <x:c r="N47" s="161" t="n">
        <x:v>44</x:v>
      </x:c>
      <x:c r="O47" s="161" t="n">
        <x:v>44</x:v>
      </x:c>
      <x:c r="P47" s="161" t="str">
        <x:v>2、2020年9月，整体变更为股份有限公司，股本增加至12,000.00万元友升股份设立情况参见本节“二/（二）股份有限公司的设立情况”之说明。</x:v>
      </x:c>
      <x:c r="Q47" s="161" t="n">
        <x:v>0.82</x:v>
      </x:c>
      <x:c r="R47" s="161" t="str">
        <x:v>否</x:v>
      </x:c>
      <x:c r="S47" s="167"/>
    </x:row>
    <x:row r="48" ht="30" customHeight="1">
      <x:c r="A48" s="198" t="n">
        <x:v>603418</x:v>
      </x:c>
      <x:c r="B48" s="161" t="str">
        <x:v>友升股份</x:v>
      </x:c>
      <x:c r="C48" s="161" t="str">
        <x:v>NUM-603418-00001</x:v>
      </x:c>
      <x:c r="D48" s="161" t="str">
        <x:v>EVT-603418-0003</x:v>
      </x:c>
      <x:c r="E48" s="161" t="str">
        <x:v>REGISTERED_CAPITAL</x:v>
      </x:c>
      <x:c r="F48" s="161" t="str">
        <x:v>注册资本840万元</x:v>
      </x:c>
      <x:c r="G48" s="161" t="n">
        <x:v>840</x:v>
      </x:c>
      <x:c r="H48" s="161" t="str">
        <x:v>元</x:v>
      </x:c>
      <x:c r="I48" s="161" t="str">
        <x:v>CNY</x:v>
      </x:c>
      <x:c r="J48" s="161" t="n">
        <x:v>10000</x:v>
      </x:c>
      <x:c r="K48" s="161" t="n">
        <x:v>8400000</x:v>
      </x:c>
      <x:c r="L48" s="161" t="str">
        <x:v>DISCLOSED</x:v>
      </x:c>
      <x:c r="M48" s="161" t="str">
        <x:v>EVD-603418-0004-01</x:v>
      </x:c>
      <x:c r="N48" s="161" t="n">
        <x:v>44</x:v>
      </x:c>
      <x:c r="O48" s="161" t="n">
        <x:v>45</x:v>
      </x:c>
      <x:c r="P48" s="161" t="str">
        <x:v>》，约定金浦临港基金、金浦科创基金和上海骁墨分别以7,000万元、3,000万元和1,500万元认购发行人新增注册资本840万元、360万元和180万元。2020年9月27日，经友升股份2020年第二次临时股东大会审议通过，友升股份股本由</x:v>
      </x:c>
      <x:c r="Q48" s="161" t="n">
        <x:v>0.88</x:v>
      </x:c>
      <x:c r="R48" s="161" t="str">
        <x:v>否</x:v>
      </x:c>
      <x:c r="S48" s="167"/>
    </x:row>
    <x:row r="49" ht="30" customHeight="1">
      <x:c r="A49" s="198" t="n">
        <x:v>603418</x:v>
      </x:c>
      <x:c r="B49" s="161" t="str">
        <x:v>友升股份</x:v>
      </x:c>
      <x:c r="C49" s="161" t="str">
        <x:v>NUM-603418-00002</x:v>
      </x:c>
      <x:c r="D49" s="161" t="str">
        <x:v>EVT-603418-0003</x:v>
      </x:c>
      <x:c r="E49" s="161" t="str">
        <x:v>CAPITAL_INCREASE_AMOUNT</x:v>
      </x:c>
      <x:c r="F49" s="161" t="str">
        <x:v>新增注册资本840万元</x:v>
      </x:c>
      <x:c r="G49" s="161" t="n">
        <x:v>840</x:v>
      </x:c>
      <x:c r="H49" s="161" t="str">
        <x:v>元</x:v>
      </x:c>
      <x:c r="I49" s="161" t="str">
        <x:v>CNY</x:v>
      </x:c>
      <x:c r="J49" s="161" t="n">
        <x:v>10000</x:v>
      </x:c>
      <x:c r="K49" s="161" t="n">
        <x:v>8400000</x:v>
      </x:c>
      <x:c r="L49" s="161" t="str">
        <x:v>DISCLOSED</x:v>
      </x:c>
      <x:c r="M49" s="161" t="str">
        <x:v>EVD-603418-0004-01</x:v>
      </x:c>
      <x:c r="N49" s="161" t="n">
        <x:v>44</x:v>
      </x:c>
      <x:c r="O49" s="161" t="n">
        <x:v>45</x:v>
      </x:c>
      <x:c r="P49" s="161" t="str">
        <x:v>协议》，约定金浦临港基金、金浦科创基金和上海骁墨分别以7,000万元、3,000万元和1,500万元认购发行人新增注册资本840万元、360万元和180万元。2020年9月27日，经友升股份2020年第二次临时股东大会审议通过，友升股份股本由</x:v>
      </x:c>
      <x:c r="Q49" s="161" t="n">
        <x:v>0.92</x:v>
      </x:c>
      <x:c r="R49" s="161" t="str">
        <x:v>否</x:v>
      </x:c>
      <x:c r="S49" s="167"/>
    </x:row>
    <x:row r="50" ht="30" customHeight="1">
      <x:c r="A50" s="198" t="n">
        <x:v>603418</x:v>
      </x:c>
      <x:c r="B50" s="161" t="str">
        <x:v>友升股份</x:v>
      </x:c>
      <x:c r="C50" s="161" t="str">
        <x:v>NUM-603418-00003</x:v>
      </x:c>
      <x:c r="D50" s="161" t="str">
        <x:v>EVT-603418-0003</x:v>
      </x:c>
      <x:c r="E50" s="161" t="str">
        <x:v>EQUITY_RATIO</x:v>
      </x:c>
      <x:c r="F50" s="161" t="str">
        <x:v>976.0067.09%</x:v>
      </x:c>
      <x:c r="G50" s="161"/>
      <x:c r="H50" s="161" t="str">
        <x:v>%</x:v>
      </x:c>
      <x:c r="I50" s="161"/>
      <x:c r="J50" s="161" t="n">
        <x:v>0.01</x:v>
      </x:c>
      <x:c r="K50" s="161"/>
      <x:c r="L50" s="161" t="str">
        <x:v>DISCLOSED</x:v>
      </x:c>
      <x:c r="M50" s="161" t="str">
        <x:v>EVD-603418-0004-01</x:v>
      </x:c>
      <x:c r="N50" s="161" t="n">
        <x:v>44</x:v>
      </x:c>
      <x:c r="O50" s="161" t="n">
        <x:v>45</x:v>
      </x:c>
      <x:c r="P50" s="161" t="str">
        <x:v>督管理局换发的《营业执照》。本次增资后，友升股份的股权结构如下：序号股东名称股份（万股）持股比例1泽升贸易8,976.0067.09%2达晨创联基金1,800.0013.45%3共青城泽升1,020.007.62%4罗世兵204.001.52%</x:v>
      </x:c>
      <x:c r="Q50" s="161" t="n">
        <x:v>0.76</x:v>
      </x:c>
      <x:c r="R50" s="161" t="str">
        <x:v>否</x:v>
      </x:c>
      <x:c r="S50" s="167"/>
    </x:row>
    <x:row r="51" ht="30" customHeight="1">
      <x:c r="A51" s="198" t="n">
        <x:v>603418</x:v>
      </x:c>
      <x:c r="B51" s="161" t="str">
        <x:v>友升股份</x:v>
      </x:c>
      <x:c r="C51" s="161" t="str">
        <x:v>NUM-603418-00004</x:v>
      </x:c>
      <x:c r="D51" s="161" t="str">
        <x:v>EVT-603418-0003</x:v>
      </x:c>
      <x:c r="E51" s="161" t="str">
        <x:v>EQUITY_RATIO</x:v>
      </x:c>
      <x:c r="F51" s="161" t="str">
        <x:v>800.0013.45%</x:v>
      </x:c>
      <x:c r="G51" s="161"/>
      <x:c r="H51" s="161" t="str">
        <x:v>%</x:v>
      </x:c>
      <x:c r="I51" s="161"/>
      <x:c r="J51" s="161" t="n">
        <x:v>0.01</x:v>
      </x:c>
      <x:c r="K51" s="161"/>
      <x:c r="L51" s="161" t="str">
        <x:v>DISCLOSED</x:v>
      </x:c>
      <x:c r="M51" s="161" t="str">
        <x:v>EVD-603418-0004-01</x:v>
      </x:c>
      <x:c r="N51" s="161" t="n">
        <x:v>44</x:v>
      </x:c>
      <x:c r="O51" s="161" t="n">
        <x:v>45</x:v>
      </x:c>
      <x:c r="P51" s="161" t="str">
        <x:v>升股份的股权结构如下：序号股东名称股份（万股）持股比例1泽升贸易8,976.0067.09%2达晨创联基金1,800.0013.45%3共青城泽升1,020.007.62%4罗世兵204.001.52%5金浦临港基金840.006.28%6金浦</x:v>
      </x:c>
      <x:c r="Q51" s="161" t="n">
        <x:v>0.76</x:v>
      </x:c>
      <x:c r="R51" s="161" t="str">
        <x:v>否</x:v>
      </x:c>
      <x:c r="S51" s="167"/>
    </x:row>
    <x:row r="52" ht="30" customHeight="1">
      <x:c r="A52" s="198" t="n">
        <x:v>603418</x:v>
      </x:c>
      <x:c r="B52" s="161" t="str">
        <x:v>友升股份</x:v>
      </x:c>
      <x:c r="C52" s="161" t="str">
        <x:v>NUM-603418-00005</x:v>
      </x:c>
      <x:c r="D52" s="161" t="str">
        <x:v>EVT-603418-0003</x:v>
      </x:c>
      <x:c r="E52" s="161" t="str">
        <x:v>EQUITY_RATIO</x:v>
      </x:c>
      <x:c r="F52" s="161" t="str">
        <x:v>020.007.62%</x:v>
      </x:c>
      <x:c r="G52" s="161"/>
      <x:c r="H52" s="161" t="str">
        <x:v>%</x:v>
      </x:c>
      <x:c r="I52" s="161"/>
      <x:c r="J52" s="161" t="n">
        <x:v>0.01</x:v>
      </x:c>
      <x:c r="K52" s="161"/>
      <x:c r="L52" s="161" t="str">
        <x:v>DISCLOSED</x:v>
      </x:c>
      <x:c r="M52" s="161" t="str">
        <x:v>EVD-603418-0004-01</x:v>
      </x:c>
      <x:c r="N52" s="161" t="n">
        <x:v>44</x:v>
      </x:c>
      <x:c r="O52" s="161" t="n">
        <x:v>45</x:v>
      </x:c>
      <x:c r="P52" s="161" t="str">
        <x:v>万股）持股比例1泽升贸易8,976.0067.09%2达晨创联基金1,800.0013.45%3共青城泽升1,020.007.62%4罗世兵204.001.52%5金浦临港基金840.006.28%6金浦科创基金360.002.69%7上海骁</x:v>
      </x:c>
      <x:c r="Q52" s="161" t="n">
        <x:v>0.76</x:v>
      </x:c>
      <x:c r="R52" s="161" t="str">
        <x:v>否</x:v>
      </x:c>
      <x:c r="S52" s="167"/>
    </x:row>
    <x:row r="53" ht="30" customHeight="1">
      <x:c r="A53" s="198" t="n">
        <x:v>603418</x:v>
      </x:c>
      <x:c r="B53" s="161" t="str">
        <x:v>友升股份</x:v>
      </x:c>
      <x:c r="C53" s="161" t="str">
        <x:v>NUM-603418-00006</x:v>
      </x:c>
      <x:c r="D53" s="161" t="str">
        <x:v>EVT-603418-0003</x:v>
      </x:c>
      <x:c r="E53" s="161" t="str">
        <x:v>EQUITY_RATIO</x:v>
      </x:c>
      <x:c r="F53" s="161" t="str">
        <x:v>204.001.52%</x:v>
      </x:c>
      <x:c r="G53" s="161"/>
      <x:c r="H53" s="161" t="str">
        <x:v>%</x:v>
      </x:c>
      <x:c r="I53" s="161"/>
      <x:c r="J53" s="161" t="n">
        <x:v>0.01</x:v>
      </x:c>
      <x:c r="K53" s="161"/>
      <x:c r="L53" s="161" t="str">
        <x:v>DISCLOSED</x:v>
      </x:c>
      <x:c r="M53" s="161" t="str">
        <x:v>EVD-603418-0004-01</x:v>
      </x:c>
      <x:c r="N53" s="161" t="n">
        <x:v>44</x:v>
      </x:c>
      <x:c r="O53" s="161" t="n">
        <x:v>45</x:v>
      </x:c>
      <x:c r="P53" s="161" t="str">
        <x:v>76.0067.09%2达晨创联基金1,800.0013.45%3共青城泽升1,020.007.62%4罗世兵204.001.52%5金浦临港基金840.006.28%6金浦科创基金360.002.69%7上海骁墨180.001.35%合计1</x:v>
      </x:c>
      <x:c r="Q53" s="161" t="n">
        <x:v>0.76</x:v>
      </x:c>
      <x:c r="R53" s="161" t="str">
        <x:v>否</x:v>
      </x:c>
      <x:c r="S53" s="167"/>
    </x:row>
    <x:row r="54" ht="30" customHeight="1">
      <x:c r="A54" s="198" t="n">
        <x:v>603418</x:v>
      </x:c>
      <x:c r="B54" s="161" t="str">
        <x:v>友升股份</x:v>
      </x:c>
      <x:c r="C54" s="161" t="str">
        <x:v>NUM-603418-00007</x:v>
      </x:c>
      <x:c r="D54" s="161" t="str">
        <x:v>EVT-603418-0003</x:v>
      </x:c>
      <x:c r="E54" s="161" t="str">
        <x:v>EQUITY_RATIO</x:v>
      </x:c>
      <x:c r="F54" s="161" t="str">
        <x:v>840.006.28%</x:v>
      </x:c>
      <x:c r="G54" s="161"/>
      <x:c r="H54" s="161" t="str">
        <x:v>%</x:v>
      </x:c>
      <x:c r="I54" s="161"/>
      <x:c r="J54" s="161" t="n">
        <x:v>0.01</x:v>
      </x:c>
      <x:c r="K54" s="161"/>
      <x:c r="L54" s="161" t="str">
        <x:v>DISCLOSED</x:v>
      </x:c>
      <x:c r="M54" s="161" t="str">
        <x:v>EVD-603418-0004-01</x:v>
      </x:c>
      <x:c r="N54" s="161" t="n">
        <x:v>44</x:v>
      </x:c>
      <x:c r="O54" s="161" t="n">
        <x:v>45</x:v>
      </x:c>
      <x:c r="P54" s="161" t="str">
        <x:v>1,800.0013.45%3共青城泽升1,020.007.62%4罗世兵204.001.52%5金浦临港基金840.006.28%6金浦科创基金360.002.69%7上海骁墨180.001.35%合计13,380.00100.00%上海友</x:v>
      </x:c>
      <x:c r="Q54" s="161" t="n">
        <x:v>0.76</x:v>
      </x:c>
      <x:c r="R54" s="161" t="str">
        <x:v>否</x:v>
      </x:c>
      <x:c r="S54" s="167"/>
    </x:row>
    <x:row r="55" ht="30" customHeight="1">
      <x:c r="A55" s="198" t="n">
        <x:v>603418</x:v>
      </x:c>
      <x:c r="B55" s="161" t="str">
        <x:v>友升股份</x:v>
      </x:c>
      <x:c r="C55" s="161" t="str">
        <x:v>NUM-603418-00008</x:v>
      </x:c>
      <x:c r="D55" s="161" t="str">
        <x:v>EVT-603418-0003</x:v>
      </x:c>
      <x:c r="E55" s="161" t="str">
        <x:v>EQUITY_RATIO</x:v>
      </x:c>
      <x:c r="F55" s="161" t="str">
        <x:v>360.002.69%</x:v>
      </x:c>
      <x:c r="G55" s="161"/>
      <x:c r="H55" s="161" t="str">
        <x:v>%</x:v>
      </x:c>
      <x:c r="I55" s="161"/>
      <x:c r="J55" s="161" t="n">
        <x:v>0.01</x:v>
      </x:c>
      <x:c r="K55" s="161"/>
      <x:c r="L55" s="161" t="str">
        <x:v>DISCLOSED</x:v>
      </x:c>
      <x:c r="M55" s="161" t="str">
        <x:v>EVD-603418-0004-01</x:v>
      </x:c>
      <x:c r="N55" s="161" t="n">
        <x:v>44</x:v>
      </x:c>
      <x:c r="O55" s="161" t="n">
        <x:v>45</x:v>
      </x:c>
      <x:c r="P55" s="161" t="str">
        <x:v>泽升1,020.007.62%4罗世兵204.001.52%5金浦临港基金840.006.28%6金浦科创基金360.002.69%7上海骁墨180.001.35%合计13,380.00100.00%上海友升铝业股份有限公司招股说明书44</x:v>
      </x:c>
      <x:c r="Q55" s="161" t="n">
        <x:v>0.76</x:v>
      </x:c>
      <x:c r="R55" s="161" t="str">
        <x:v>否</x:v>
      </x:c>
      <x:c r="S55" s="167"/>
    </x:row>
    <x:row r="56" ht="30" customHeight="1">
      <x:c r="A56" s="198" t="n">
        <x:v>603418</x:v>
      </x:c>
      <x:c r="B56" s="161" t="str">
        <x:v>友升股份</x:v>
      </x:c>
      <x:c r="C56" s="161" t="str">
        <x:v>NUM-603418-00009</x:v>
      </x:c>
      <x:c r="D56" s="161" t="str">
        <x:v>EVT-603418-0003</x:v>
      </x:c>
      <x:c r="E56" s="161" t="str">
        <x:v>EQUITY_RATIO</x:v>
      </x:c>
      <x:c r="F56" s="161" t="str">
        <x:v>180.001.35%</x:v>
      </x:c>
      <x:c r="G56" s="161"/>
      <x:c r="H56" s="161" t="str">
        <x:v>%</x:v>
      </x:c>
      <x:c r="I56" s="161"/>
      <x:c r="J56" s="161" t="n">
        <x:v>0.01</x:v>
      </x:c>
      <x:c r="K56" s="161"/>
      <x:c r="L56" s="161" t="str">
        <x:v>DISCLOSED</x:v>
      </x:c>
      <x:c r="M56" s="161" t="str">
        <x:v>EVD-603418-0004-01</x:v>
      </x:c>
      <x:c r="N56" s="161" t="n">
        <x:v>44</x:v>
      </x:c>
      <x:c r="O56" s="161" t="n">
        <x:v>45</x:v>
      </x:c>
      <x:c r="P56" s="161" t="str">
        <x:v>罗世兵204.001.52%5金浦临港基金840.006.28%6金浦科创基金360.002.69%7上海骁墨180.001.35%合计13,380.00100.00%上海友升铝业股份有限公司招股说明书44</x:v>
      </x:c>
      <x:c r="Q56" s="161" t="n">
        <x:v>0.76</x:v>
      </x:c>
      <x:c r="R56" s="161" t="str">
        <x:v>否</x:v>
      </x:c>
      <x:c r="S56" s="167"/>
    </x:row>
    <x:row r="57" ht="30" customHeight="1">
      <x:c r="A57" s="198" t="n">
        <x:v>603418</x:v>
      </x:c>
      <x:c r="B57" s="161" t="str">
        <x:v>友升股份</x:v>
      </x:c>
      <x:c r="C57" s="161" t="str">
        <x:v>NUM-603418-00010</x:v>
      </x:c>
      <x:c r="D57" s="161" t="str">
        <x:v>EVT-603418-0003</x:v>
      </x:c>
      <x:c r="E57" s="161" t="str">
        <x:v>EQUITY_RATIO</x:v>
      </x:c>
      <x:c r="F57" s="161" t="str">
        <x:v>380.00100.00%</x:v>
      </x:c>
      <x:c r="G57" s="161"/>
      <x:c r="H57" s="161" t="str">
        <x:v>%</x:v>
      </x:c>
      <x:c r="I57" s="161"/>
      <x:c r="J57" s="161" t="n">
        <x:v>0.01</x:v>
      </x:c>
      <x:c r="K57" s="161"/>
      <x:c r="L57" s="161" t="str">
        <x:v>DISCLOSED</x:v>
      </x:c>
      <x:c r="M57" s="161" t="str">
        <x:v>EVD-603418-0004-01</x:v>
      </x:c>
      <x:c r="N57" s="161" t="n">
        <x:v>44</x:v>
      </x:c>
      <x:c r="O57" s="161" t="n">
        <x:v>45</x:v>
      </x:c>
      <x:c r="P57" s="161" t="str">
        <x:v>浦临港基金840.006.28%6金浦科创基金360.002.69%7上海骁墨180.001.35%合计13,380.00100.00%上海友升铝业股份有限公司招股说明书44</x:v>
      </x:c>
      <x:c r="Q57" s="161" t="n">
        <x:v>0.76</x:v>
      </x:c>
      <x:c r="R57" s="161" t="str">
        <x:v>否</x:v>
      </x:c>
      <x:c r="S57" s="167"/>
    </x:row>
    <x:row r="58" ht="30" customHeight="1">
      <x:c r="A58" s="198" t="n">
        <x:v>603418</x:v>
      </x:c>
      <x:c r="B58" s="161" t="str">
        <x:v>友升股份</x:v>
      </x:c>
      <x:c r="C58" s="161" t="str">
        <x:v>NUM-603418-00001</x:v>
      </x:c>
      <x:c r="D58" s="161" t="str">
        <x:v>EVT-603418-0004</x:v>
      </x:c>
      <x:c r="E58" s="161" t="str">
        <x:v>EQUITY_RATIO</x:v>
      </x:c>
      <x:c r="F58" s="161" t="str">
        <x:v>976.000061.99%</x:v>
      </x:c>
      <x:c r="G58" s="161"/>
      <x:c r="H58" s="161" t="str">
        <x:v>%</x:v>
      </x:c>
      <x:c r="I58" s="161"/>
      <x:c r="J58" s="161" t="n">
        <x:v>0.01</x:v>
      </x:c>
      <x:c r="K58" s="161"/>
      <x:c r="L58" s="161" t="str">
        <x:v>DISCLOSED</x:v>
      </x:c>
      <x:c r="M58" s="161" t="str">
        <x:v>EVD-603418-0005-01</x:v>
      </x:c>
      <x:c r="N58" s="161" t="n">
        <x:v>45</x:v>
      </x:c>
      <x:c r="O58" s="161" t="n">
        <x:v>46</x:v>
      </x:c>
      <x:c r="P58" s="161" t="str">
        <x:v>督管理局换发的《营业执照》。本次增资后，友升股份的股权结构如下：序号股东名称股份（万股）持股比例1泽升贸易8,976.000061.99%2达晨创联基金1,800.000012.43%3共青城泽升1,020.00007.04%4金浦临港基金840.</x:v>
      </x:c>
      <x:c r="Q58" s="161" t="n">
        <x:v>0.76</x:v>
      </x:c>
      <x:c r="R58" s="161" t="str">
        <x:v>否</x:v>
      </x:c>
      <x:c r="S58" s="167"/>
    </x:row>
    <x:row r="59" ht="30" customHeight="1">
      <x:c r="A59" s="198" t="n">
        <x:v>603418</x:v>
      </x:c>
      <x:c r="B59" s="161" t="str">
        <x:v>友升股份</x:v>
      </x:c>
      <x:c r="C59" s="161" t="str">
        <x:v>NUM-603418-00002</x:v>
      </x:c>
      <x:c r="D59" s="161" t="str">
        <x:v>EVT-603418-0004</x:v>
      </x:c>
      <x:c r="E59" s="161" t="str">
        <x:v>EQUITY_RATIO</x:v>
      </x:c>
      <x:c r="F59" s="161" t="str">
        <x:v>800.000012.43%</x:v>
      </x:c>
      <x:c r="G59" s="161"/>
      <x:c r="H59" s="161" t="str">
        <x:v>%</x:v>
      </x:c>
      <x:c r="I59" s="161"/>
      <x:c r="J59" s="161" t="n">
        <x:v>0.01</x:v>
      </x:c>
      <x:c r="K59" s="161"/>
      <x:c r="L59" s="161" t="str">
        <x:v>DISCLOSED</x:v>
      </x:c>
      <x:c r="M59" s="161" t="str">
        <x:v>EVD-603418-0005-01</x:v>
      </x:c>
      <x:c r="N59" s="161" t="n">
        <x:v>45</x:v>
      </x:c>
      <x:c r="O59" s="161" t="n">
        <x:v>46</x:v>
      </x:c>
      <x:c r="P59" s="161" t="str">
        <x:v>份的股权结构如下：序号股东名称股份（万股）持股比例1泽升贸易8,976.000061.99%2达晨创联基金1,800.000012.43%3共青城泽升1,020.00007.04%4金浦临港基金840.00005.80%5金浦科创基金360.000</x:v>
      </x:c>
      <x:c r="Q59" s="161" t="n">
        <x:v>0.76</x:v>
      </x:c>
      <x:c r="R59" s="161" t="str">
        <x:v>否</x:v>
      </x:c>
      <x:c r="S59" s="167"/>
    </x:row>
    <x:row r="60" ht="30" customHeight="1">
      <x:c r="A60" s="198" t="n">
        <x:v>603418</x:v>
      </x:c>
      <x:c r="B60" s="161" t="str">
        <x:v>友升股份</x:v>
      </x:c>
      <x:c r="C60" s="161" t="str">
        <x:v>NUM-603418-00003</x:v>
      </x:c>
      <x:c r="D60" s="161" t="str">
        <x:v>EVT-603418-0004</x:v>
      </x:c>
      <x:c r="E60" s="161" t="str">
        <x:v>EQUITY_RATIO</x:v>
      </x:c>
      <x:c r="F60" s="161" t="str">
        <x:v>020.00007.04%</x:v>
      </x:c>
      <x:c r="G60" s="161"/>
      <x:c r="H60" s="161" t="str">
        <x:v>%</x:v>
      </x:c>
      <x:c r="I60" s="161"/>
      <x:c r="J60" s="161" t="n">
        <x:v>0.01</x:v>
      </x:c>
      <x:c r="K60" s="161"/>
      <x:c r="L60" s="161" t="str">
        <x:v>DISCLOSED</x:v>
      </x:c>
      <x:c r="M60" s="161" t="str">
        <x:v>EVD-603418-0005-01</x:v>
      </x:c>
      <x:c r="N60" s="161" t="n">
        <x:v>45</x:v>
      </x:c>
      <x:c r="O60" s="161" t="n">
        <x:v>46</x:v>
      </x:c>
      <x:c r="P60" s="161" t="str">
        <x:v>股比例1泽升贸易8,976.000061.99%2达晨创联基金1,800.000012.43%3共青城泽升1,020.00007.04%4金浦临港基金840.00005.80%5金浦科创基金360.00002.49%6杉晖创业297.33332.</x:v>
      </x:c>
      <x:c r="Q60" s="161" t="n">
        <x:v>0.76</x:v>
      </x:c>
      <x:c r="R60" s="161" t="str">
        <x:v>否</x:v>
      </x:c>
      <x:c r="S60" s="167"/>
    </x:row>
    <x:row r="61" ht="30" customHeight="1">
      <x:c r="A61" s="198" t="n">
        <x:v>603418</x:v>
      </x:c>
      <x:c r="B61" s="161" t="str">
        <x:v>友升股份</x:v>
      </x:c>
      <x:c r="C61" s="161" t="str">
        <x:v>NUM-603418-00004</x:v>
      </x:c>
      <x:c r="D61" s="161" t="str">
        <x:v>EVT-603418-0004</x:v>
      </x:c>
      <x:c r="E61" s="161" t="str">
        <x:v>EQUITY_RATIO</x:v>
      </x:c>
      <x:c r="F61" s="161" t="str">
        <x:v>840.00005.80%</x:v>
      </x:c>
      <x:c r="G61" s="161"/>
      <x:c r="H61" s="161" t="str">
        <x:v>%</x:v>
      </x:c>
      <x:c r="I61" s="161"/>
      <x:c r="J61" s="161" t="n">
        <x:v>0.01</x:v>
      </x:c>
      <x:c r="K61" s="161"/>
      <x:c r="L61" s="161" t="str">
        <x:v>DISCLOSED</x:v>
      </x:c>
      <x:c r="M61" s="161" t="str">
        <x:v>EVD-603418-0005-01</x:v>
      </x:c>
      <x:c r="N61" s="161" t="n">
        <x:v>45</x:v>
      </x:c>
      <x:c r="O61" s="161" t="n">
        <x:v>46</x:v>
      </x:c>
      <x:c r="P61" s="161" t="str">
        <x:v>.99%2达晨创联基金1,800.000012.43%3共青城泽升1,020.00007.04%4金浦临港基金840.00005.80%5金浦科创基金360.00002.49%6杉晖创业297.33332.05%7上海联炻297.33332.05</x:v>
      </x:c>
      <x:c r="Q61" s="161" t="n">
        <x:v>0.76</x:v>
      </x:c>
      <x:c r="R61" s="161" t="str">
        <x:v>否</x:v>
      </x:c>
      <x:c r="S61" s="167"/>
    </x:row>
    <x:row r="62" ht="30" customHeight="1">
      <x:c r="A62" s="198" t="n">
        <x:v>603418</x:v>
      </x:c>
      <x:c r="B62" s="161" t="str">
        <x:v>友升股份</x:v>
      </x:c>
      <x:c r="C62" s="161" t="str">
        <x:v>NUM-603418-00005</x:v>
      </x:c>
      <x:c r="D62" s="161" t="str">
        <x:v>EVT-603418-0004</x:v>
      </x:c>
      <x:c r="E62" s="161" t="str">
        <x:v>EQUITY_RATIO</x:v>
      </x:c>
      <x:c r="F62" s="161" t="str">
        <x:v>360.00002.49%</x:v>
      </x:c>
      <x:c r="G62" s="161"/>
      <x:c r="H62" s="161" t="str">
        <x:v>%</x:v>
      </x:c>
      <x:c r="I62" s="161"/>
      <x:c r="J62" s="161" t="n">
        <x:v>0.01</x:v>
      </x:c>
      <x:c r="K62" s="161"/>
      <x:c r="L62" s="161" t="str">
        <x:v>DISCLOSED</x:v>
      </x:c>
      <x:c r="M62" s="161" t="str">
        <x:v>EVD-603418-0005-01</x:v>
      </x:c>
      <x:c r="N62" s="161" t="n">
        <x:v>45</x:v>
      </x:c>
      <x:c r="O62" s="161" t="n">
        <x:v>46</x:v>
      </x:c>
      <x:c r="P62" s="161" t="str">
        <x:v>012.43%3共青城泽升1,020.00007.04%4金浦临港基金840.00005.80%5金浦科创基金360.00002.49%6杉晖创业297.33332.05%7上海联炻297.33332.05%上海友升铝业股份有限公司招股说明书45</x:v>
      </x:c>
      <x:c r="Q62" s="161" t="n">
        <x:v>0.76</x:v>
      </x:c>
      <x:c r="R62" s="161" t="str">
        <x:v>否</x:v>
      </x:c>
      <x:c r="S62" s="167"/>
    </x:row>
    <x:row r="63" ht="30" customHeight="1">
      <x:c r="A63" s="198" t="n">
        <x:v>603418</x:v>
      </x:c>
      <x:c r="B63" s="161" t="str">
        <x:v>友升股份</x:v>
      </x:c>
      <x:c r="C63" s="161" t="str">
        <x:v>NUM-603418-00006</x:v>
      </x:c>
      <x:c r="D63" s="161" t="str">
        <x:v>EVT-603418-0004</x:v>
      </x:c>
      <x:c r="E63" s="161" t="str">
        <x:v>EQUITY_RATIO</x:v>
      </x:c>
      <x:c r="F63" s="161" t="str">
        <x:v>297.33332.05%</x:v>
      </x:c>
      <x:c r="G63" s="161"/>
      <x:c r="H63" s="161" t="str">
        <x:v>%</x:v>
      </x:c>
      <x:c r="I63" s="161"/>
      <x:c r="J63" s="161" t="n">
        <x:v>0.01</x:v>
      </x:c>
      <x:c r="K63" s="161"/>
      <x:c r="L63" s="161" t="str">
        <x:v>DISCLOSED</x:v>
      </x:c>
      <x:c r="M63" s="161" t="str">
        <x:v>EVD-603418-0005-01</x:v>
      </x:c>
      <x:c r="N63" s="161" t="n">
        <x:v>45</x:v>
      </x:c>
      <x:c r="O63" s="161" t="n">
        <x:v>46</x:v>
      </x:c>
      <x:c r="P63" s="161" t="str">
        <x:v>.00007.04%4金浦临港基金840.00005.80%5金浦科创基金360.00002.49%6杉晖创业297.33332.05%7上海联炻297.33332.05%上海友升铝业股份有限公司招股说明书45序号股东名称股份（万股）持股比例8罗</x:v>
      </x:c>
      <x:c r="Q63" s="161" t="n">
        <x:v>0.76</x:v>
      </x:c>
      <x:c r="R63" s="161" t="str">
        <x:v>否</x:v>
      </x:c>
      <x:c r="S63" s="167"/>
    </x:row>
    <x:row r="64" ht="30" customHeight="1">
      <x:c r="A64" s="198" t="n">
        <x:v>603418</x:v>
      </x:c>
      <x:c r="B64" s="161" t="str">
        <x:v>友升股份</x:v>
      </x:c>
      <x:c r="C64" s="161" t="str">
        <x:v>NUM-603418-00007</x:v>
      </x:c>
      <x:c r="D64" s="161" t="str">
        <x:v>EVT-603418-0004</x:v>
      </x:c>
      <x:c r="E64" s="161" t="str">
        <x:v>EQUITY_RATIO</x:v>
      </x:c>
      <x:c r="F64" s="161" t="str">
        <x:v>204.00001.41%</x:v>
      </x:c>
      <x:c r="G64" s="161"/>
      <x:c r="H64" s="161" t="str">
        <x:v>%</x:v>
      </x:c>
      <x:c r="I64" s="161"/>
      <x:c r="J64" s="161" t="n">
        <x:v>0.01</x:v>
      </x:c>
      <x:c r="K64" s="161"/>
      <x:c r="L64" s="161" t="str">
        <x:v>DISCLOSED</x:v>
      </x:c>
      <x:c r="M64" s="161" t="str">
        <x:v>EVD-603418-0005-01</x:v>
      </x:c>
      <x:c r="N64" s="161" t="n">
        <x:v>45</x:v>
      </x:c>
      <x:c r="O64" s="161" t="n">
        <x:v>46</x:v>
      </x:c>
      <x:c r="P64" s="161" t="str">
        <x:v>海联炻297.33332.05%上海友升铝业股份有限公司招股说明书45序号股东名称股份（万股）持股比例8罗世兵204.00001.41%9上海骁墨180.00001.24%10安吉璞颉148.66671.03%11财投晨源89.20000.62%</x:v>
      </x:c>
      <x:c r="Q64" s="161" t="n">
        <x:v>0.76</x:v>
      </x:c>
      <x:c r="R64" s="161" t="str">
        <x:v>否</x:v>
      </x:c>
      <x:c r="S64" s="167"/>
    </x:row>
    <x:row r="65" ht="30" customHeight="1">
      <x:c r="A65" s="198" t="n">
        <x:v>603418</x:v>
      </x:c>
      <x:c r="B65" s="161" t="str">
        <x:v>友升股份</x:v>
      </x:c>
      <x:c r="C65" s="161" t="str">
        <x:v>NUM-603418-00008</x:v>
      </x:c>
      <x:c r="D65" s="161" t="str">
        <x:v>EVT-603418-0004</x:v>
      </x:c>
      <x:c r="E65" s="161" t="str">
        <x:v>EQUITY_RATIO</x:v>
      </x:c>
      <x:c r="F65" s="161" t="str">
        <x:v>180.00001.24%</x:v>
      </x:c>
      <x:c r="G65" s="161"/>
      <x:c r="H65" s="161" t="str">
        <x:v>%</x:v>
      </x:c>
      <x:c r="I65" s="161"/>
      <x:c r="J65" s="161" t="n">
        <x:v>0.01</x:v>
      </x:c>
      <x:c r="K65" s="161"/>
      <x:c r="L65" s="161" t="str">
        <x:v>DISCLOSED</x:v>
      </x:c>
      <x:c r="M65" s="161" t="str">
        <x:v>EVD-603418-0005-01</x:v>
      </x:c>
      <x:c r="N65" s="161" t="n">
        <x:v>45</x:v>
      </x:c>
      <x:c r="O65" s="161" t="n">
        <x:v>46</x:v>
      </x:c>
      <x:c r="P65" s="161" t="str">
        <x:v>友升铝业股份有限公司招股说明书45序号股东名称股份（万股）持股比例8罗世兵204.00001.41%9上海骁墨180.00001.24%10安吉璞颉148.66671.03%11财投晨源89.20000.62%12深圳达晨创程86.59840.6</x:v>
      </x:c>
      <x:c r="Q65" s="161" t="n">
        <x:v>0.76</x:v>
      </x:c>
      <x:c r="R65" s="161" t="str">
        <x:v>否</x:v>
      </x:c>
      <x:c r="S65" s="167"/>
    </x:row>
    <x:row r="66" ht="30" customHeight="1">
      <x:c r="A66" s="198" t="n">
        <x:v>603418</x:v>
      </x:c>
      <x:c r="B66" s="161" t="str">
        <x:v>友升股份</x:v>
      </x:c>
      <x:c r="C66" s="161" t="str">
        <x:v>NUM-603418-00009</x:v>
      </x:c>
      <x:c r="D66" s="161" t="str">
        <x:v>EVT-603418-0004</x:v>
      </x:c>
      <x:c r="E66" s="161" t="str">
        <x:v>EQUITY_RATIO</x:v>
      </x:c>
      <x:c r="F66" s="161" t="str">
        <x:v>148.66671.03%</x:v>
      </x:c>
      <x:c r="G66" s="161"/>
      <x:c r="H66" s="161" t="str">
        <x:v>%</x:v>
      </x:c>
      <x:c r="I66" s="161"/>
      <x:c r="J66" s="161" t="n">
        <x:v>0.01</x:v>
      </x:c>
      <x:c r="K66" s="161"/>
      <x:c r="L66" s="161" t="str">
        <x:v>DISCLOSED</x:v>
      </x:c>
      <x:c r="M66" s="161" t="str">
        <x:v>EVD-603418-0005-01</x:v>
      </x:c>
      <x:c r="N66" s="161" t="n">
        <x:v>45</x:v>
      </x:c>
      <x:c r="O66" s="161" t="n">
        <x:v>46</x:v>
      </x:c>
      <x:c r="P66" s="161" t="str">
        <x:v>股东名称股份（万股）持股比例8罗世兵204.00001.41%9上海骁墨180.00001.24%10安吉璞颉148.66671.03%11财投晨源89.20000.62%12深圳达晨创程86.59840.60%13杉创智至59.46670.41</x:v>
      </x:c>
      <x:c r="Q66" s="161" t="n">
        <x:v>0.76</x:v>
      </x:c>
      <x:c r="R66" s="161" t="str">
        <x:v>否</x:v>
      </x:c>
      <x:c r="S66" s="167"/>
    </x:row>
    <x:row r="67" ht="30" customHeight="1">
      <x:c r="A67" s="198" t="n">
        <x:v>603418</x:v>
      </x:c>
      <x:c r="B67" s="161" t="str">
        <x:v>友升股份</x:v>
      </x:c>
      <x:c r="C67" s="161" t="str">
        <x:v>NUM-603418-00010</x:v>
      </x:c>
      <x:c r="D67" s="161" t="str">
        <x:v>EVT-603418-0004</x:v>
      </x:c>
      <x:c r="E67" s="161" t="str">
        <x:v>EQUITY_RATIO</x:v>
      </x:c>
      <x:c r="F67" s="161" t="str">
        <x:v>89.20000.62%</x:v>
      </x:c>
      <x:c r="G67" s="161"/>
      <x:c r="H67" s="161" t="str">
        <x:v>%</x:v>
      </x:c>
      <x:c r="I67" s="161"/>
      <x:c r="J67" s="161" t="n">
        <x:v>0.01</x:v>
      </x:c>
      <x:c r="K67" s="161"/>
      <x:c r="L67" s="161" t="str">
        <x:v>DISCLOSED</x:v>
      </x:c>
      <x:c r="M67" s="161" t="str">
        <x:v>EVD-603418-0005-01</x:v>
      </x:c>
      <x:c r="N67" s="161" t="n">
        <x:v>45</x:v>
      </x:c>
      <x:c r="O67" s="161" t="n">
        <x:v>46</x:v>
      </x:c>
      <x:c r="P67" s="161" t="str">
        <x:v>04.00001.41%9上海骁墨180.00001.24%10安吉璞颉148.66671.03%11财投晨源89.20000.62%12深圳达晨创程86.59840.60%13杉创智至59.46670.41%14杭州达晨创程51.95900.</x:v>
      </x:c>
      <x:c r="Q67" s="161" t="n">
        <x:v>0.76</x:v>
      </x:c>
      <x:c r="R67" s="161" t="str">
        <x:v>否</x:v>
      </x:c>
      <x:c r="S67" s="167"/>
    </x:row>
    <x:row r="68" ht="30" customHeight="1">
      <x:c r="A68" s="198" t="n">
        <x:v>603418</x:v>
      </x:c>
      <x:c r="B68" s="161" t="str">
        <x:v>友升股份</x:v>
      </x:c>
      <x:c r="C68" s="161" t="str">
        <x:v>NUM-603418-00011</x:v>
      </x:c>
      <x:c r="D68" s="161" t="str">
        <x:v>EVT-603418-0004</x:v>
      </x:c>
      <x:c r="E68" s="161" t="str">
        <x:v>EQUITY_RATIO</x:v>
      </x:c>
      <x:c r="F68" s="161" t="str">
        <x:v>86.59840.60%</x:v>
      </x:c>
      <x:c r="G68" s="161"/>
      <x:c r="H68" s="161" t="str">
        <x:v>%</x:v>
      </x:c>
      <x:c r="I68" s="161"/>
      <x:c r="J68" s="161" t="n">
        <x:v>0.01</x:v>
      </x:c>
      <x:c r="K68" s="161"/>
      <x:c r="L68" s="161" t="str">
        <x:v>DISCLOSED</x:v>
      </x:c>
      <x:c r="M68" s="161" t="str">
        <x:v>EVD-603418-0005-01</x:v>
      </x:c>
      <x:c r="N68" s="161" t="n">
        <x:v>45</x:v>
      </x:c>
      <x:c r="O68" s="161" t="n">
        <x:v>46</x:v>
      </x:c>
      <x:c r="P68" s="161" t="str">
        <x:v>.00001.24%10安吉璞颉148.66671.03%11财投晨源89.20000.62%12深圳达晨创程86.59840.60%13杉创智至59.46670.41%14杭州达晨创程51.95900.36%15达晨财汇29.73330.21</x:v>
      </x:c>
      <x:c r="Q68" s="161" t="n">
        <x:v>0.76</x:v>
      </x:c>
      <x:c r="R68" s="161" t="str">
        <x:v>否</x:v>
      </x:c>
      <x:c r="S68" s="167"/>
    </x:row>
    <x:row r="69" ht="30" customHeight="1">
      <x:c r="A69" s="198" t="n">
        <x:v>603418</x:v>
      </x:c>
      <x:c r="B69" s="161" t="str">
        <x:v>友升股份</x:v>
      </x:c>
      <x:c r="C69" s="161" t="str">
        <x:v>NUM-603418-00012</x:v>
      </x:c>
      <x:c r="D69" s="161" t="str">
        <x:v>EVT-603418-0004</x:v>
      </x:c>
      <x:c r="E69" s="161" t="str">
        <x:v>EQUITY_RATIO</x:v>
      </x:c>
      <x:c r="F69" s="161" t="str">
        <x:v>59.46670.41%</x:v>
      </x:c>
      <x:c r="G69" s="161"/>
      <x:c r="H69" s="161" t="str">
        <x:v>%</x:v>
      </x:c>
      <x:c r="I69" s="161"/>
      <x:c r="J69" s="161" t="n">
        <x:v>0.01</x:v>
      </x:c>
      <x:c r="K69" s="161"/>
      <x:c r="L69" s="161" t="str">
        <x:v>DISCLOSED</x:v>
      </x:c>
      <x:c r="M69" s="161" t="str">
        <x:v>EVD-603418-0005-01</x:v>
      </x:c>
      <x:c r="N69" s="161" t="n">
        <x:v>45</x:v>
      </x:c>
      <x:c r="O69" s="161" t="n">
        <x:v>46</x:v>
      </x:c>
      <x:c r="P69" s="161" t="str">
        <x:v>8.66671.03%11财投晨源89.20000.62%12深圳达晨创程86.59840.60%13杉创智至59.46670.41%14杭州达晨创程51.95900.36%15达晨财汇29.73330.21%16达晨财智29.73330.21</x:v>
      </x:c>
      <x:c r="Q69" s="161" t="n">
        <x:v>0.76</x:v>
      </x:c>
      <x:c r="R69" s="161" t="str">
        <x:v>否</x:v>
      </x:c>
      <x:c r="S69" s="167"/>
    </x:row>
    <x:row r="70" ht="30" customHeight="1">
      <x:c r="A70" s="198" t="n">
        <x:v>603418</x:v>
      </x:c>
      <x:c r="B70" s="161" t="str">
        <x:v>友升股份</x:v>
      </x:c>
      <x:c r="C70" s="161" t="str">
        <x:v>NUM-603418-00013</x:v>
      </x:c>
      <x:c r="D70" s="161" t="str">
        <x:v>EVT-603418-0004</x:v>
      </x:c>
      <x:c r="E70" s="161" t="str">
        <x:v>EQUITY_RATIO</x:v>
      </x:c>
      <x:c r="F70" s="161" t="str">
        <x:v>51.95900.36%</x:v>
      </x:c>
      <x:c r="G70" s="161"/>
      <x:c r="H70" s="161" t="str">
        <x:v>%</x:v>
      </x:c>
      <x:c r="I70" s="161"/>
      <x:c r="J70" s="161" t="n">
        <x:v>0.01</x:v>
      </x:c>
      <x:c r="K70" s="161"/>
      <x:c r="L70" s="161" t="str">
        <x:v>DISCLOSED</x:v>
      </x:c>
      <x:c r="M70" s="161" t="str">
        <x:v>EVD-603418-0005-01</x:v>
      </x:c>
      <x:c r="N70" s="161" t="n">
        <x:v>45</x:v>
      </x:c>
      <x:c r="O70" s="161" t="n">
        <x:v>46</x:v>
      </x:c>
      <x:c r="P70" s="161" t="str">
        <x:v>20000.62%12深圳达晨创程86.59840.60%13杉创智至59.46670.41%14杭州达晨创程51.95900.36%15达晨财汇29.73330.21%16达晨财智29.73330.21%17财智创赢10.10930.07%合</x:v>
      </x:c>
      <x:c r="Q70" s="161" t="n">
        <x:v>0.76</x:v>
      </x:c>
      <x:c r="R70" s="161" t="str">
        <x:v>否</x:v>
      </x:c>
      <x:c r="S70" s="167"/>
    </x:row>
    <x:row r="71" ht="30" customHeight="1">
      <x:c r="A71" s="198" t="n">
        <x:v>603418</x:v>
      </x:c>
      <x:c r="B71" s="161" t="str">
        <x:v>友升股份</x:v>
      </x:c>
      <x:c r="C71" s="161" t="str">
        <x:v>NUM-603418-00014</x:v>
      </x:c>
      <x:c r="D71" s="161" t="str">
        <x:v>EVT-603418-0004</x:v>
      </x:c>
      <x:c r="E71" s="161" t="str">
        <x:v>EQUITY_RATIO</x:v>
      </x:c>
      <x:c r="F71" s="161" t="str">
        <x:v>29.73330.21%</x:v>
      </x:c>
      <x:c r="G71" s="161"/>
      <x:c r="H71" s="161" t="str">
        <x:v>%</x:v>
      </x:c>
      <x:c r="I71" s="161"/>
      <x:c r="J71" s="161" t="n">
        <x:v>0.01</x:v>
      </x:c>
      <x:c r="K71" s="161"/>
      <x:c r="L71" s="161" t="str">
        <x:v>DISCLOSED</x:v>
      </x:c>
      <x:c r="M71" s="161" t="str">
        <x:v>EVD-603418-0005-01</x:v>
      </x:c>
      <x:c r="N71" s="161" t="n">
        <x:v>45</x:v>
      </x:c>
      <x:c r="O71" s="161" t="n">
        <x:v>46</x:v>
      </x:c>
      <x:c r="P71" s="161" t="str">
        <x:v>6.59840.60%13杉创智至59.46670.41%14杭州达晨创程51.95900.36%15达晨财汇29.73330.21%16达晨财智29.73330.21%17财智创赢10.10930.07%合计14,480.1333100.00</x:v>
      </x:c>
      <x:c r="Q71" s="161" t="n">
        <x:v>0.76</x:v>
      </x:c>
      <x:c r="R71" s="161" t="str">
        <x:v>否</x:v>
      </x:c>
      <x:c r="S71" s="167"/>
    </x:row>
    <x:row r="72" ht="30" customHeight="1">
      <x:c r="A72" s="198" t="n">
        <x:v>603418</x:v>
      </x:c>
      <x:c r="B72" s="161" t="str">
        <x:v>友升股份</x:v>
      </x:c>
      <x:c r="C72" s="161" t="str">
        <x:v>NUM-603418-00015</x:v>
      </x:c>
      <x:c r="D72" s="161" t="str">
        <x:v>EVT-603418-0004</x:v>
      </x:c>
      <x:c r="E72" s="161" t="str">
        <x:v>EQUITY_RATIO</x:v>
      </x:c>
      <x:c r="F72" s="161" t="str">
        <x:v>10.10930.07%</x:v>
      </x:c>
      <x:c r="G72" s="161"/>
      <x:c r="H72" s="161" t="str">
        <x:v>%</x:v>
      </x:c>
      <x:c r="I72" s="161"/>
      <x:c r="J72" s="161" t="n">
        <x:v>0.01</x:v>
      </x:c>
      <x:c r="K72" s="161"/>
      <x:c r="L72" s="161" t="str">
        <x:v>DISCLOSED</x:v>
      </x:c>
      <x:c r="M72" s="161" t="str">
        <x:v>EVD-603418-0005-01</x:v>
      </x:c>
      <x:c r="N72" s="161" t="n">
        <x:v>45</x:v>
      </x:c>
      <x:c r="O72" s="161" t="n">
        <x:v>46</x:v>
      </x:c>
      <x:c r="P72" s="161" t="str">
        <x:v>程51.95900.36%15达晨财汇29.73330.21%16达晨财智29.73330.21%17财智创赢10.10930.07%合计14,480.1333100.00%</x:v>
      </x:c>
      <x:c r="Q72" s="161" t="n">
        <x:v>0.76</x:v>
      </x:c>
      <x:c r="R72" s="161" t="str">
        <x:v>否</x:v>
      </x:c>
      <x:c r="S72" s="167"/>
    </x:row>
    <x:row r="73" ht="30" customHeight="1">
      <x:c r="A73" s="198" t="n">
        <x:v>603418</x:v>
      </x:c>
      <x:c r="B73" s="161" t="str">
        <x:v>友升股份</x:v>
      </x:c>
      <x:c r="C73" s="161" t="str">
        <x:v>NUM-603418-00016</x:v>
      </x:c>
      <x:c r="D73" s="161" t="str">
        <x:v>EVT-603418-0004</x:v>
      </x:c>
      <x:c r="E73" s="161" t="str">
        <x:v>EQUITY_RATIO</x:v>
      </x:c>
      <x:c r="F73" s="161" t="str">
        <x:v>480.1333100.00%</x:v>
      </x:c>
      <x:c r="G73" s="161"/>
      <x:c r="H73" s="161" t="str">
        <x:v>%</x:v>
      </x:c>
      <x:c r="I73" s="161"/>
      <x:c r="J73" s="161" t="n">
        <x:v>0.01</x:v>
      </x:c>
      <x:c r="K73" s="161"/>
      <x:c r="L73" s="161" t="str">
        <x:v>DISCLOSED</x:v>
      </x:c>
      <x:c r="M73" s="161" t="str">
        <x:v>EVD-603418-0005-01</x:v>
      </x:c>
      <x:c r="N73" s="161" t="n">
        <x:v>45</x:v>
      </x:c>
      <x:c r="O73" s="161" t="n">
        <x:v>46</x:v>
      </x:c>
      <x:c r="P73" s="161" t="str">
        <x:v>财汇29.73330.21%16达晨财智29.73330.21%17财智创赢10.10930.07%合计14,480.1333100.00%</x:v>
      </x:c>
      <x:c r="Q73" s="161" t="n">
        <x:v>0.76</x:v>
      </x:c>
      <x:c r="R73" s="161" t="str">
        <x:v>否</x:v>
      </x:c>
      <x:c r="S73" s="167"/>
    </x:row>
    <x:row r="74" ht="30" customHeight="1">
      <x:c r="A74" s="198" t="n">
        <x:v>688758</x:v>
      </x:c>
      <x:c r="B74" s="161" t="str">
        <x:v>赛分科技</x:v>
      </x:c>
      <x:c r="C74" s="161" t="str">
        <x:v>NUM-688758-00001</x:v>
      </x:c>
      <x:c r="D74" s="161" t="str">
        <x:v>EVT-688758-0001</x:v>
      </x:c>
      <x:c r="E74" s="161" t="str">
        <x:v>REGISTERED_CAPITAL</x:v>
      </x:c>
      <x:c r="F74" s="161" t="str">
        <x:v>注册资本10,000,000元</x:v>
      </x:c>
      <x:c r="G74" s="161" t="n">
        <x:v>10000000</x:v>
      </x:c>
      <x:c r="H74" s="161" t="str">
        <x:v>元</x:v>
      </x:c>
      <x:c r="I74" s="161" t="str">
        <x:v>CNY</x:v>
      </x:c>
      <x:c r="J74" s="161" t="n">
        <x:v>1</x:v>
      </x:c>
      <x:c r="K74" s="161" t="n">
        <x:v>10000000</x:v>
      </x:c>
      <x:c r="L74" s="161" t="str">
        <x:v>DISCLOSED</x:v>
      </x:c>
      <x:c r="M74" s="161" t="str">
        <x:v>EVD-688758-0001-01</x:v>
      </x:c>
      <x:c r="N74" s="161" t="n">
        <x:v>50</x:v>
      </x:c>
      <x:c r="O74" s="161" t="n">
        <x:v>51</x:v>
      </x:c>
      <x:c r="P74" s="161" t="str">
        <x:v>”。2009年2月6日，赛分有限（筹）股东黄学英、沈建林、潘鼎签署了《苏州赛分科技有限公司章程》，载明赛分有限注册资本10,000,000元，以货币出资。首期实缴注册资本4,000,000元，剩余注册资本约定于2011年3月10日前实缴完毕。2009</x:v>
      </x:c>
      <x:c r="Q74" s="161" t="n">
        <x:v>0.88</x:v>
      </x:c>
      <x:c r="R74" s="161" t="str">
        <x:v>否</x:v>
      </x:c>
      <x:c r="S74" s="167"/>
    </x:row>
    <x:row r="75" ht="30" customHeight="1">
      <x:c r="A75" s="198" t="n">
        <x:v>688758</x:v>
      </x:c>
      <x:c r="B75" s="161" t="str">
        <x:v>赛分科技</x:v>
      </x:c>
      <x:c r="C75" s="161" t="str">
        <x:v>NUM-688758-00002</x:v>
      </x:c>
      <x:c r="D75" s="161" t="str">
        <x:v>EVT-688758-0001</x:v>
      </x:c>
      <x:c r="E75" s="161" t="str">
        <x:v>REGISTERED_CAPITAL</x:v>
      </x:c>
      <x:c r="F75" s="161" t="str">
        <x:v>注册资本4,000,000元</x:v>
      </x:c>
      <x:c r="G75" s="161" t="n">
        <x:v>4000000</x:v>
      </x:c>
      <x:c r="H75" s="161" t="str">
        <x:v>元</x:v>
      </x:c>
      <x:c r="I75" s="161" t="str">
        <x:v>CNY</x:v>
      </x:c>
      <x:c r="J75" s="161" t="n">
        <x:v>1</x:v>
      </x:c>
      <x:c r="K75" s="161" t="n">
        <x:v>4000000</x:v>
      </x:c>
      <x:c r="L75" s="161" t="str">
        <x:v>DISCLOSED</x:v>
      </x:c>
      <x:c r="M75" s="161" t="str">
        <x:v>EVD-688758-0001-01</x:v>
      </x:c>
      <x:c r="N75" s="161" t="n">
        <x:v>50</x:v>
      </x:c>
      <x:c r="O75" s="161" t="n">
        <x:v>51</x:v>
      </x:c>
      <x:c r="P75" s="161" t="str">
        <x:v>建林、潘鼎签署了《苏州赛分科技有限公司章程》，载明赛分有限注册资本10,000,000元，以货币出资。首期实缴注册资本4,000,000元，剩余注册资本约定于2011年3月10日前实缴完毕。2009年3月11日，苏州众勤会计师事务所有限公司出具苏众</x:v>
      </x:c>
      <x:c r="Q75" s="161" t="n">
        <x:v>0.88</x:v>
      </x:c>
      <x:c r="R75" s="161" t="str">
        <x:v>否</x:v>
      </x:c>
      <x:c r="S75" s="167"/>
    </x:row>
    <x:row r="76" ht="30" customHeight="1">
      <x:c r="A76" s="198" t="n">
        <x:v>688758</x:v>
      </x:c>
      <x:c r="B76" s="161" t="str">
        <x:v>赛分科技</x:v>
      </x:c>
      <x:c r="C76" s="161" t="str">
        <x:v>NUM-688758-00001</x:v>
      </x:c>
      <x:c r="D76" s="161" t="str">
        <x:v>EVT-688758-0002</x:v>
      </x:c>
      <x:c r="E76" s="161" t="str">
        <x:v>SHARE_QUANTITY</x:v>
      </x:c>
      <x:c r="F76" s="161" t="str">
        <x:v>27,506,769股</x:v>
      </x:c>
      <x:c r="G76" s="161" t="n">
        <x:v>27506769</x:v>
      </x:c>
      <x:c r="H76" s="161" t="str">
        <x:v>股</x:v>
      </x:c>
      <x:c r="I76" s="161"/>
      <x:c r="J76" s="161" t="n">
        <x:v>1</x:v>
      </x:c>
      <x:c r="K76" s="161" t="n">
        <x:v>27506769</x:v>
      </x:c>
      <x:c r="L76" s="161" t="str">
        <x:v>DISCLOSED</x:v>
      </x:c>
      <x:c r="M76" s="161" t="str">
        <x:v>EVD-688758-0002-01</x:v>
      </x:c>
      <x:c r="N76" s="161" t="n">
        <x:v>51</x:v>
      </x:c>
      <x:c r="O76" s="161" t="n">
        <x:v>53</x:v>
      </x:c>
      <x:c r="P76" s="161" t="str">
        <x:v>公司的股苏州赛分科技股份有限公司首次公开发行股票并在科创板上市招股说明书1-1-51份总额，每股面值1元，共计27,506,769股，未折股部分268,293,931.26元将全额计入股份公司的资本公积金。公司全体股东作为发起人，按照目前各自</x:v>
      </x:c>
      <x:c r="Q76" s="161" t="n">
        <x:v>0.82</x:v>
      </x:c>
      <x:c r="R76" s="161" t="str">
        <x:v>否</x:v>
      </x:c>
      <x:c r="S76" s="167"/>
    </x:row>
    <x:row r="77" ht="30" customHeight="1">
      <x:c r="A77" s="198" t="n">
        <x:v>688758</x:v>
      </x:c>
      <x:c r="B77" s="161" t="str">
        <x:v>赛分科技</x:v>
      </x:c>
      <x:c r="C77" s="161" t="str">
        <x:v>NUM-688758-00002</x:v>
      </x:c>
      <x:c r="D77" s="161" t="str">
        <x:v>EVT-688758-0002</x:v>
      </x:c>
      <x:c r="E77" s="161" t="str">
        <x:v>SHARE_QUANTITY</x:v>
      </x:c>
      <x:c r="F77" s="161" t="str">
        <x:v>，股</x:v>
      </x:c>
      <x:c r="G77" s="161"/>
      <x:c r="H77" s="161" t="str">
        <x:v>股</x:v>
      </x:c>
      <x:c r="I77" s="161"/>
      <x:c r="J77" s="161" t="n">
        <x:v>1</x:v>
      </x:c>
      <x:c r="K77" s="161"/>
      <x:c r="L77" s="161" t="str">
        <x:v>DISCLOSED</x:v>
      </x:c>
      <x:c r="M77" s="161" t="str">
        <x:v>EVD-688758-0002-01</x:v>
      </x:c>
      <x:c r="N77" s="161" t="n">
        <x:v>51</x:v>
      </x:c>
      <x:c r="O77" s="161" t="n">
        <x:v>53</x:v>
      </x:c>
      <x:c r="P77" s="161" t="str">
        <x:v>26元（评估值为330,045,075.98元）折股投入，其中27,506,769.00元折合为赛分科技的股本，股本总额27,506,769股，每股面值1元，净资产折合股本后的余额计入资本公积。2021年9月16日，赛分科技</x:v>
      </x:c>
      <x:c r="Q77" s="161" t="n">
        <x:v>0.82</x:v>
      </x:c>
      <x:c r="R77" s="161" t="str">
        <x:v>否</x:v>
      </x:c>
      <x:c r="S77" s="167"/>
    </x:row>
    <x:row r="78" ht="30" customHeight="1">
      <x:c r="A78" s="198" t="n">
        <x:v>688758</x:v>
      </x:c>
      <x:c r="B78" s="161" t="str">
        <x:v>赛分科技</x:v>
      </x:c>
      <x:c r="C78" s="161" t="str">
        <x:v>NUM-688758-00003</x:v>
      </x:c>
      <x:c r="D78" s="161" t="str">
        <x:v>EVT-688758-0002</x:v>
      </x:c>
      <x:c r="E78" s="161" t="str">
        <x:v>NET_ASSET_VALUE</x:v>
      </x:c>
      <x:c r="F78" s="161" t="str">
        <x:v>净资产295,800,700.26元</x:v>
      </x:c>
      <x:c r="G78" s="161" t="n">
        <x:v>295800700.26</x:v>
      </x:c>
      <x:c r="H78" s="161" t="str">
        <x:v>元</x:v>
      </x:c>
      <x:c r="I78" s="161" t="str">
        <x:v>CNY</x:v>
      </x:c>
      <x:c r="J78" s="161" t="n">
        <x:v>1</x:v>
      </x:c>
      <x:c r="K78" s="161" t="n">
        <x:v>295800700.26</x:v>
      </x:c>
      <x:c r="L78" s="161" t="str">
        <x:v>DISCLOSED</x:v>
      </x:c>
      <x:c r="M78" s="161" t="str">
        <x:v>EVD-688758-0002-01</x:v>
      </x:c>
      <x:c r="N78" s="161" t="n">
        <x:v>51</x:v>
      </x:c>
      <x:c r="O78" s="161" t="n">
        <x:v>53</x:v>
      </x:c>
      <x:c r="P78" s="161" t="str">
        <x:v>告》。经审验，截至2021年8月25日，赛分科技各发起人以其拥有的赛分有限截至2021年5月31日经审计的账面净资产295,800,700.26元（评估值为330,045,075.98元）折股投入，其中27,506,769.00元折合为赛分科技的股本，股本</x:v>
      </x:c>
      <x:c r="Q78" s="161" t="n">
        <x:v>0.86</x:v>
      </x:c>
      <x:c r="R78" s="161" t="str">
        <x:v>否</x:v>
      </x:c>
      <x:c r="S78" s="167"/>
    </x:row>
    <x:row r="79" ht="30" customHeight="1">
      <x:c r="A79" s="198" t="n">
        <x:v>688758</x:v>
      </x:c>
      <x:c r="B79" s="161" t="str">
        <x:v>赛分科技</x:v>
      </x:c>
      <x:c r="C79" s="161" t="str">
        <x:v>NUM-688758-00004</x:v>
      </x:c>
      <x:c r="D79" s="161" t="str">
        <x:v>EVT-688758-0002</x:v>
      </x:c>
      <x:c r="E79" s="161" t="str">
        <x:v>APPRAISED_VALUE</x:v>
      </x:c>
      <x:c r="F79" s="161" t="str">
        <x:v>评估值为330,045,075.98元</x:v>
      </x:c>
      <x:c r="G79" s="161" t="n">
        <x:v>330045075.98</x:v>
      </x:c>
      <x:c r="H79" s="161" t="str">
        <x:v>元</x:v>
      </x:c>
      <x:c r="I79" s="161" t="str">
        <x:v>CNY</x:v>
      </x:c>
      <x:c r="J79" s="161" t="n">
        <x:v>1</x:v>
      </x:c>
      <x:c r="K79" s="161" t="n">
        <x:v>330045075.98</x:v>
      </x:c>
      <x:c r="L79" s="161" t="str">
        <x:v>DISCLOSED</x:v>
      </x:c>
      <x:c r="M79" s="161" t="str">
        <x:v>EVD-688758-0002-01</x:v>
      </x:c>
      <x:c r="N79" s="161" t="n">
        <x:v>51</x:v>
      </x:c>
      <x:c r="O79" s="161" t="n">
        <x:v>53</x:v>
      </x:c>
      <x:c r="P79" s="161" t="str">
        <x:v>，赛分科技各发起人以其拥有的赛分有限截至2021年5月31日经审计的账面净资产295,800,700.26元（评估值为330,045,075.98元）折股投入，其中27,506,769.00元折合为赛分科技的股本，股本总额27,506,769股，每股面值1元</x:v>
      </x:c>
      <x:c r="Q79" s="161" t="n">
        <x:v>0.84</x:v>
      </x:c>
      <x:c r="R79" s="161" t="str">
        <x:v>否</x:v>
      </x:c>
      <x:c r="S79" s="167"/>
    </x:row>
    <x:row r="80" ht="30" customHeight="1">
      <x:c r="A80" s="198" t="n">
        <x:v>688758</x:v>
      </x:c>
      <x:c r="B80" s="161" t="str">
        <x:v>赛分科技</x:v>
      </x:c>
      <x:c r="C80" s="161" t="str">
        <x:v>NUM-688758-00001</x:v>
      </x:c>
      <x:c r="D80" s="161" t="str">
        <x:v>EVT-688758-0004</x:v>
      </x:c>
      <x:c r="E80" s="161" t="str">
        <x:v>REGISTERED_CAPITAL</x:v>
      </x:c>
      <x:c r="F80" s="161" t="str">
        <x:v>注册资本22.00万元</x:v>
      </x:c>
      <x:c r="G80" s="161" t="n">
        <x:v>22</x:v>
      </x:c>
      <x:c r="H80" s="161" t="str">
        <x:v>元</x:v>
      </x:c>
      <x:c r="I80" s="161" t="str">
        <x:v>CNY</x:v>
      </x:c>
      <x:c r="J80" s="161" t="n">
        <x:v>10000</x:v>
      </x:c>
      <x:c r="K80" s="161" t="n">
        <x:v>220000</x:v>
      </x:c>
      <x:c r="L80" s="161" t="str">
        <x:v>DISCLOSED</x:v>
      </x:c>
      <x:c r="M80" s="161" t="str">
        <x:v>EVD-688758-0004-01</x:v>
      </x:c>
      <x:c r="N80" s="161" t="n">
        <x:v>57</x:v>
      </x:c>
      <x:c r="O80" s="161" t="n">
        <x:v>58</x:v>
      </x:c>
      <x:c r="P80" s="161" t="str">
        <x:v>，报告期内第二次股权转让2021年7月10日，赛分有限召开股东会并作出决议，同意黄学英将其持有的公司0.8%的注册资本22.00万元以人民币0元的价格转让给高新同华。本次股权转让系为解决公司与高新同华之间的业绩承诺与补偿事宜。2021年7月1</x:v>
      </x:c>
      <x:c r="Q80" s="161" t="n">
        <x:v>0.88</x:v>
      </x:c>
      <x:c r="R80" s="161" t="str">
        <x:v>否</x:v>
      </x:c>
      <x:c r="S80" s="167"/>
    </x:row>
    <x:row r="81" ht="30" customHeight="1">
      <x:c r="A81" s="198" t="n">
        <x:v>688758</x:v>
      </x:c>
      <x:c r="B81" s="161" t="str">
        <x:v>赛分科技</x:v>
      </x:c>
      <x:c r="C81" s="161" t="str">
        <x:v>NUM-688758-00002</x:v>
      </x:c>
      <x:c r="D81" s="161" t="str">
        <x:v>EVT-688758-0004</x:v>
      </x:c>
      <x:c r="E81" s="161" t="str">
        <x:v>EQUITY_RATIO</x:v>
      </x:c>
      <x:c r="F81" s="161" t="str">
        <x:v>0.8%</x:v>
      </x:c>
      <x:c r="G81" s="161" t="n">
        <x:v>0.8</x:v>
      </x:c>
      <x:c r="H81" s="161" t="str">
        <x:v>%</x:v>
      </x:c>
      <x:c r="I81" s="161"/>
      <x:c r="J81" s="161" t="n">
        <x:v>0.01</x:v>
      </x:c>
      <x:c r="K81" s="161" t="n">
        <x:v>0.008</x:v>
      </x:c>
      <x:c r="L81" s="161" t="str">
        <x:v>DISCLOSED</x:v>
      </x:c>
      <x:c r="M81" s="161" t="str">
        <x:v>EVD-688758-0004-01</x:v>
      </x:c>
      <x:c r="N81" s="161" t="n">
        <x:v>57</x:v>
      </x:c>
      <x:c r="O81" s="161" t="n">
        <x:v>58</x:v>
      </x:c>
      <x:c r="P81" s="161" t="str">
        <x:v>21年8月，报告期内第二次股权转让2021年7月10日，赛分有限召开股东会并作出决议，同意黄学英将其持有的公司0.8%的注册资本22.00万元以人民币0元的价格转让给高新同华。本次股权转让系为解决公司与高新同华之间的业绩承诺与补</x:v>
      </x:c>
      <x:c r="Q81" s="161" t="n">
        <x:v>0.76</x:v>
      </x:c>
      <x:c r="R81" s="161" t="str">
        <x:v>否</x:v>
      </x:c>
      <x:c r="S81" s="167"/>
    </x:row>
    <x:row r="82" ht="30" customHeight="1">
      <x:c r="A82" s="198" t="n">
        <x:v>688758</x:v>
      </x:c>
      <x:c r="B82" s="161" t="str">
        <x:v>赛分科技</x:v>
      </x:c>
      <x:c r="C82" s="161" t="str">
        <x:v>NUM-688758-00001</x:v>
      </x:c>
      <x:c r="D82" s="161" t="str">
        <x:v>EVT-688758-0005</x:v>
      </x:c>
      <x:c r="E82" s="161" t="str">
        <x:v>SHARE_QUANTITY</x:v>
      </x:c>
      <x:c r="F82" s="161" t="str">
        <x:v>4,243,901股</x:v>
      </x:c>
      <x:c r="G82" s="161" t="n">
        <x:v>4243901</x:v>
      </x:c>
      <x:c r="H82" s="161" t="str">
        <x:v>股</x:v>
      </x:c>
      <x:c r="I82" s="161"/>
      <x:c r="J82" s="161" t="n">
        <x:v>1</x:v>
      </x:c>
      <x:c r="K82" s="161" t="n">
        <x:v>4243901</x:v>
      </x:c>
      <x:c r="L82" s="161" t="str">
        <x:v>DISCLOSED</x:v>
      </x:c>
      <x:c r="M82" s="161" t="str">
        <x:v>EVD-688758-0005-01</x:v>
      </x:c>
      <x:c r="N82" s="161" t="n">
        <x:v>59</x:v>
      </x:c>
      <x:c r="O82" s="161" t="n">
        <x:v>59</x:v>
      </x:c>
      <x:c r="P82" s="161" t="str">
        <x:v>，报告期内第二次增资2021年10月28日，赛分科技召开2021年第一次临时股东大会，决议同意赛分科技增发股份4,243,901股，新增股份由新增股东源峰磐赛、珠海峦恒、高瓴祈睿、国药中生、圣成投资、国药二期、圣祁投资、夏尔巴二期、甘李药业</x:v>
      </x:c>
      <x:c r="Q82" s="161" t="n">
        <x:v>0.82</x:v>
      </x:c>
      <x:c r="R82" s="161" t="str">
        <x:v>否</x:v>
      </x:c>
      <x:c r="S82" s="167"/>
    </x:row>
    <x:row r="83" ht="30" customHeight="1">
      <x:c r="A83" s="198" t="n">
        <x:v>688758</x:v>
      </x:c>
      <x:c r="B83" s="161" t="str">
        <x:v>赛分科技</x:v>
      </x:c>
      <x:c r="C83" s="161" t="str">
        <x:v>NUM-688758-00001</x:v>
      </x:c>
      <x:c r="D83" s="161" t="str">
        <x:v>EVT-688758-0006</x:v>
      </x:c>
      <x:c r="E83" s="161" t="str">
        <x:v>SHARE_QUANTITY</x:v>
      </x:c>
      <x:c r="F83" s="161" t="str">
        <x:v>117,886股</x:v>
      </x:c>
      <x:c r="G83" s="161" t="n">
        <x:v>117886</x:v>
      </x:c>
      <x:c r="H83" s="161" t="str">
        <x:v>股</x:v>
      </x:c>
      <x:c r="I83" s="161"/>
      <x:c r="J83" s="161" t="n">
        <x:v>1</x:v>
      </x:c>
      <x:c r="K83" s="161" t="n">
        <x:v>117886</x:v>
      </x:c>
      <x:c r="L83" s="161" t="str">
        <x:v>DISCLOSED</x:v>
      </x:c>
      <x:c r="M83" s="161" t="str">
        <x:v>EVD-688758-0006-01</x:v>
      </x:c>
      <x:c r="N83" s="161" t="n">
        <x:v>60</x:v>
      </x:c>
      <x:c r="O83" s="161" t="n">
        <x:v>62</x:v>
      </x:c>
      <x:c r="P83" s="161" t="str">
        <x:v>，报告期内第三次增资2021年11月22日，赛分科技召开2021年第二次临时股东大会，决议同意赛分科技增发股份117,886股，新增股份由新增股东聚贝投资以人民币1,500万元认购。苏州赛分科技股份有限公司首次公开发行股票并在科创板上市</x:v>
      </x:c>
      <x:c r="Q83" s="161" t="n">
        <x:v>0.82</x:v>
      </x:c>
      <x:c r="R83" s="161" t="str">
        <x:v>否</x:v>
      </x:c>
      <x:c r="S83" s="167"/>
    </x:row>
    <x:row r="84" ht="30" customHeight="1">
      <x:c r="A84" s="198" t="n">
        <x:v>688758</x:v>
      </x:c>
      <x:c r="B84" s="161" t="str">
        <x:v>赛分科技</x:v>
      </x:c>
      <x:c r="C84" s="161" t="str">
        <x:v>NUM-688758-00001</x:v>
      </x:c>
      <x:c r="D84" s="161" t="str">
        <x:v>EVT-688758-0007</x:v>
      </x:c>
      <x:c r="E84" s="161" t="str">
        <x:v>SHARE_QUANTITY</x:v>
      </x:c>
      <x:c r="F84" s="161" t="str">
        <x:v>31,868,556股</x:v>
      </x:c>
      <x:c r="G84" s="161" t="n">
        <x:v>31868556</x:v>
      </x:c>
      <x:c r="H84" s="161" t="str">
        <x:v>股</x:v>
      </x:c>
      <x:c r="I84" s="161"/>
      <x:c r="J84" s="161" t="n">
        <x:v>1</x:v>
      </x:c>
      <x:c r="K84" s="161" t="n">
        <x:v>31868556</x:v>
      </x:c>
      <x:c r="L84" s="161" t="str">
        <x:v>DISCLOSED</x:v>
      </x:c>
      <x:c r="M84" s="161" t="str">
        <x:v>EVD-688758-0007-01</x:v>
      </x:c>
      <x:c r="N84" s="161" t="n">
        <x:v>62</x:v>
      </x:c>
      <x:c r="O84" s="161" t="n">
        <x:v>64</x:v>
      </x:c>
      <x:c r="P84" s="161" t="str">
        <x:v>21年12月6日，赛分科技召开2021年第三次临时股东大会决议，决议同意赛分科技以2021年11月25日总股本31,868,556股为基数，以资本公积金向公司现有全体股东每10股转增105股，共计转增股本334,619,838股，每股面值1元</x:v>
      </x:c>
      <x:c r="Q84" s="161" t="n">
        <x:v>0.82</x:v>
      </x:c>
      <x:c r="R84" s="161" t="str">
        <x:v>否</x:v>
      </x:c>
      <x:c r="S84" s="167"/>
    </x:row>
    <x:row r="85" ht="30" customHeight="1">
      <x:c r="A85" s="198" t="n">
        <x:v>688758</x:v>
      </x:c>
      <x:c r="B85" s="161" t="str">
        <x:v>赛分科技</x:v>
      </x:c>
      <x:c r="C85" s="161" t="str">
        <x:v>NUM-688758-00002</x:v>
      </x:c>
      <x:c r="D85" s="161" t="str">
        <x:v>EVT-688758-0007</x:v>
      </x:c>
      <x:c r="E85" s="161" t="str">
        <x:v>SHARE_QUANTITY</x:v>
      </x:c>
      <x:c r="F85" s="161" t="str">
        <x:v>10股</x:v>
      </x:c>
      <x:c r="G85" s="161" t="n">
        <x:v>10</x:v>
      </x:c>
      <x:c r="H85" s="161" t="str">
        <x:v>股</x:v>
      </x:c>
      <x:c r="I85" s="161"/>
      <x:c r="J85" s="161" t="n">
        <x:v>1</x:v>
      </x:c>
      <x:c r="K85" s="161" t="n">
        <x:v>10</x:v>
      </x:c>
      <x:c r="L85" s="161" t="str">
        <x:v>DISCLOSED</x:v>
      </x:c>
      <x:c r="M85" s="161" t="str">
        <x:v>EVD-688758-0007-01</x:v>
      </x:c>
      <x:c r="N85" s="161" t="n">
        <x:v>62</x:v>
      </x:c>
      <x:c r="O85" s="161" t="n">
        <x:v>64</x:v>
      </x:c>
      <x:c r="P85" s="161" t="str">
        <x:v>，决议同意赛分科技以2021年11月25日总股本31,868,556股为基数，以资本公积金向公司现有全体股东每10股转增105股，共计转增股本334,619,838股，每股面值1元。本次转增完成后，公司股本总数由31,868,</x:v>
      </x:c>
      <x:c r="Q85" s="161" t="n">
        <x:v>0.82</x:v>
      </x:c>
      <x:c r="R85" s="161" t="str">
        <x:v>否</x:v>
      </x:c>
      <x:c r="S85" s="167"/>
    </x:row>
    <x:row r="86" ht="30" customHeight="1">
      <x:c r="A86" s="198" t="n">
        <x:v>688758</x:v>
      </x:c>
      <x:c r="B86" s="161" t="str">
        <x:v>赛分科技</x:v>
      </x:c>
      <x:c r="C86" s="161" t="str">
        <x:v>NUM-688758-00003</x:v>
      </x:c>
      <x:c r="D86" s="161" t="str">
        <x:v>EVT-688758-0007</x:v>
      </x:c>
      <x:c r="E86" s="161" t="str">
        <x:v>SHARE_QUANTITY</x:v>
      </x:c>
      <x:c r="F86" s="161" t="str">
        <x:v>105股</x:v>
      </x:c>
      <x:c r="G86" s="161" t="n">
        <x:v>105</x:v>
      </x:c>
      <x:c r="H86" s="161" t="str">
        <x:v>股</x:v>
      </x:c>
      <x:c r="I86" s="161"/>
      <x:c r="J86" s="161" t="n">
        <x:v>1</x:v>
      </x:c>
      <x:c r="K86" s="161" t="n">
        <x:v>105</x:v>
      </x:c>
      <x:c r="L86" s="161" t="str">
        <x:v>DISCLOSED</x:v>
      </x:c>
      <x:c r="M86" s="161" t="str">
        <x:v>EVD-688758-0007-01</x:v>
      </x:c>
      <x:c r="N86" s="161" t="n">
        <x:v>62</x:v>
      </x:c>
      <x:c r="O86" s="161" t="n">
        <x:v>64</x:v>
      </x:c>
      <x:c r="P86" s="161" t="str">
        <x:v>赛分科技以2021年11月25日总股本31,868,556股为基数，以资本公积金向公司现有全体股东每10股转增105股，共计转增股本334,619,838股，每股面值1元。本次转增完成后，公司股本总数由31,868,556股变更</x:v>
      </x:c>
      <x:c r="Q86" s="161" t="n">
        <x:v>0.82</x:v>
      </x:c>
      <x:c r="R86" s="161" t="str">
        <x:v>否</x:v>
      </x:c>
      <x:c r="S86" s="167"/>
    </x:row>
    <x:row r="87" ht="30" customHeight="1">
      <x:c r="A87" s="198" t="n">
        <x:v>688758</x:v>
      </x:c>
      <x:c r="B87" s="161" t="str">
        <x:v>赛分科技</x:v>
      </x:c>
      <x:c r="C87" s="161" t="str">
        <x:v>NUM-688758-00004</x:v>
      </x:c>
      <x:c r="D87" s="161" t="str">
        <x:v>EVT-688758-0007</x:v>
      </x:c>
      <x:c r="E87" s="161" t="str">
        <x:v>SHARE_QUANTITY</x:v>
      </x:c>
      <x:c r="F87" s="161" t="str">
        <x:v>334,619,838股</x:v>
      </x:c>
      <x:c r="G87" s="161" t="n">
        <x:v>334619838</x:v>
      </x:c>
      <x:c r="H87" s="161" t="str">
        <x:v>股</x:v>
      </x:c>
      <x:c r="I87" s="161"/>
      <x:c r="J87" s="161" t="n">
        <x:v>1</x:v>
      </x:c>
      <x:c r="K87" s="161" t="n">
        <x:v>334619838</x:v>
      </x:c>
      <x:c r="L87" s="161" t="str">
        <x:v>DISCLOSED</x:v>
      </x:c>
      <x:c r="M87" s="161" t="str">
        <x:v>EVD-688758-0007-01</x:v>
      </x:c>
      <x:c r="N87" s="161" t="n">
        <x:v>62</x:v>
      </x:c>
      <x:c r="O87" s="161" t="n">
        <x:v>64</x:v>
      </x:c>
      <x:c r="P87" s="161" t="str">
        <x:v>1月25日总股本31,868,556股为基数，以资本公积金向公司现有全体股东每10股转增105股，共计转增股本334,619,838股，每股面值1元。本次转增完成后，公司股本总数由31,868,556股变更为366,488,394股，并同步修改</x:v>
      </x:c>
      <x:c r="Q87" s="161" t="n">
        <x:v>0.82</x:v>
      </x:c>
      <x:c r="R87" s="161" t="str">
        <x:v>否</x:v>
      </x:c>
      <x:c r="S87" s="167"/>
    </x:row>
    <x:row r="88" ht="30" customHeight="1">
      <x:c r="A88" s="198" t="n">
        <x:v>688758</x:v>
      </x:c>
      <x:c r="B88" s="161" t="str">
        <x:v>赛分科技</x:v>
      </x:c>
      <x:c r="C88" s="161" t="str">
        <x:v>NUM-688758-00005</x:v>
      </x:c>
      <x:c r="D88" s="161" t="str">
        <x:v>EVT-688758-0007</x:v>
      </x:c>
      <x:c r="E88" s="161" t="str">
        <x:v>SHARE_QUANTITY</x:v>
      </x:c>
      <x:c r="F88" s="161" t="str">
        <x:v>366,488,394股</x:v>
      </x:c>
      <x:c r="G88" s="161" t="n">
        <x:v>366488394</x:v>
      </x:c>
      <x:c r="H88" s="161" t="str">
        <x:v>股</x:v>
      </x:c>
      <x:c r="I88" s="161"/>
      <x:c r="J88" s="161" t="n">
        <x:v>1</x:v>
      </x:c>
      <x:c r="K88" s="161" t="n">
        <x:v>366488394</x:v>
      </x:c>
      <x:c r="L88" s="161" t="str">
        <x:v>DISCLOSED</x:v>
      </x:c>
      <x:c r="M88" s="161" t="str">
        <x:v>EVD-688758-0007-01</x:v>
      </x:c>
      <x:c r="N88" s="161" t="n">
        <x:v>62</x:v>
      </x:c>
      <x:c r="O88" s="161" t="n">
        <x:v>64</x:v>
      </x:c>
      <x:c r="P88" s="161" t="str">
        <x:v>共计转增股本334,619,838股，每股面值1元。本次转增完成后，公司股本总数由31,868,556股变更为366,488,394股，并同步修改《公司章程》。2021年12月15日，赛分科技取得了江苏省市场监督管理局换发的《营业苏州赛分科技股</x:v>
      </x:c>
      <x:c r="Q88" s="161" t="n">
        <x:v>0.82</x:v>
      </x:c>
      <x:c r="R88" s="161" t="str">
        <x:v>否</x:v>
      </x:c>
      <x:c r="S88" s="167"/>
    </x:row>
    <x:row r="89" ht="30" customHeight="1">
      <x:c r="A89" s="198" t="n">
        <x:v>688775</x:v>
      </x:c>
      <x:c r="B89" s="161" t="str">
        <x:v>影石创新</x:v>
      </x:c>
      <x:c r="C89" s="161" t="str">
        <x:v>NUM-688775-00001</x:v>
      </x:c>
      <x:c r="D89" s="161" t="str">
        <x:v>EVT-688775-0002</x:v>
      </x:c>
      <x:c r="E89" s="161" t="str">
        <x:v>SHARE_QUANTITY</x:v>
      </x:c>
      <x:c r="F89" s="161" t="str">
        <x:v>，股</x:v>
      </x:c>
      <x:c r="G89" s="161"/>
      <x:c r="H89" s="161" t="str">
        <x:v>股</x:v>
      </x:c>
      <x:c r="I89" s="161"/>
      <x:c r="J89" s="161" t="n">
        <x:v>1</x:v>
      </x:c>
      <x:c r="K89" s="161"/>
      <x:c r="L89" s="161" t="str">
        <x:v>DISCLOSED</x:v>
      </x:c>
      <x:c r="M89" s="161" t="str">
        <x:v>EVD-688775-0002-01</x:v>
      </x:c>
      <x:c r="N89" s="161" t="n">
        <x:v>63</x:v>
      </x:c>
      <x:c r="O89" s="161" t="n">
        <x:v>64</x:v>
      </x:c>
      <x:c r="P89" s="161" t="str">
        <x:v>章程》。2020年2月26日，深圳市市场监督管理局核准了本次备案登记，并签发了新的《营业执照》。影石创新设立时，股本结构如下：序号股东名称股份数（万股）持股比例（%）1北京岚锋10,777.545329.93762EARNA</x:v>
      </x:c>
      <x:c r="Q89" s="161" t="n">
        <x:v>0.82</x:v>
      </x:c>
      <x:c r="R89" s="161" t="str">
        <x:v>否</x:v>
      </x:c>
      <x:c r="S89" s="167"/>
    </x:row>
    <x:row r="90" ht="30" customHeight="1">
      <x:c r="A90" s="198" t="n">
        <x:v>688775</x:v>
      </x:c>
      <x:c r="B90" s="161" t="str">
        <x:v>影石创新</x:v>
      </x:c>
      <x:c r="C90" s="161" t="str">
        <x:v>NUM-688775-00002</x:v>
      </x:c>
      <x:c r="D90" s="161" t="str">
        <x:v>EVT-688775-0002</x:v>
      </x:c>
      <x:c r="E90" s="161" t="str">
        <x:v>NET_ASSET_VALUE</x:v>
      </x:c>
      <x:c r="F90" s="161" t="str">
        <x:v>净资产为52,728.05万元</x:v>
      </x:c>
      <x:c r="G90" s="161" t="n">
        <x:v>52728.05</x:v>
      </x:c>
      <x:c r="H90" s="161" t="str">
        <x:v>元</x:v>
      </x:c>
      <x:c r="I90" s="161" t="str">
        <x:v>CNY</x:v>
      </x:c>
      <x:c r="J90" s="161" t="n">
        <x:v>10000</x:v>
      </x:c>
      <x:c r="K90" s="161" t="n">
        <x:v>527280500</x:v>
      </x:c>
      <x:c r="L90" s="161" t="str">
        <x:v>DISCLOSED</x:v>
      </x:c>
      <x:c r="M90" s="161" t="str">
        <x:v>EVD-688775-0002-01</x:v>
      </x:c>
      <x:c r="N90" s="161" t="n">
        <x:v>63</x:v>
      </x:c>
      <x:c r="O90" s="161" t="n">
        <x:v>64</x:v>
      </x:c>
      <x:c r="P90" s="161" t="str">
        <x:v>。同日，深圳岚锋全体股东签署了《影石创新科技股份有限公司发起人协议》。截至2019年10月31日，深圳岚锋账面净资产为52,728.05万元。深圳岚锋全体股东以其拥有的截至2019年10月31日（股改基准日）的净资产52,728.05万元出资，并按照</x:v>
      </x:c>
      <x:c r="Q90" s="161" t="n">
        <x:v>0.86</x:v>
      </x:c>
      <x:c r="R90" s="161" t="str">
        <x:v>否</x:v>
      </x:c>
      <x:c r="S90" s="167"/>
    </x:row>
    <x:row r="91" ht="30" customHeight="1">
      <x:c r="A91" s="198" t="n">
        <x:v>688775</x:v>
      </x:c>
      <x:c r="B91" s="161" t="str">
        <x:v>影石创新</x:v>
      </x:c>
      <x:c r="C91" s="161" t="str">
        <x:v>NUM-688775-00001</x:v>
      </x:c>
      <x:c r="D91" s="161" t="str">
        <x:v>EVT-688775-0003</x:v>
      </x:c>
      <x:c r="E91" s="161" t="str">
        <x:v>SHARE_QUANTITY</x:v>
      </x:c>
      <x:c r="F91" s="161" t="str">
        <x:v>，股</x:v>
      </x:c>
      <x:c r="G91" s="161"/>
      <x:c r="H91" s="161" t="str">
        <x:v>股</x:v>
      </x:c>
      <x:c r="I91" s="161"/>
      <x:c r="J91" s="161" t="n">
        <x:v>1</x:v>
      </x:c>
      <x:c r="K91" s="161"/>
      <x:c r="L91" s="161" t="str">
        <x:v>DISCLOSED</x:v>
      </x:c>
      <x:c r="M91" s="161" t="str">
        <x:v>EVD-688775-0003-01</x:v>
      </x:c>
      <x:c r="N91" s="161" t="n">
        <x:v>65</x:v>
      </x:c>
      <x:c r="O91" s="161" t="n">
        <x:v>66</x:v>
      </x:c>
      <x:c r="P91" s="161" t="str">
        <x:v>1、2023年3月，股份公司第一次股权转让2023年1月28日和2023年2月17日，影石创新分别召开董事会和股东大会并形成决议，同</x:v>
      </x:c>
      <x:c r="Q91" s="161" t="n">
        <x:v>0.82</x:v>
      </x:c>
      <x:c r="R91" s="161" t="str">
        <x:v>否</x:v>
      </x:c>
      <x:c r="S91" s="167"/>
    </x:row>
    <x:row r="92" ht="30" customHeight="1">
      <x:c r="A92" s="198" t="n">
        <x:v>920116</x:v>
      </x:c>
      <x:c r="B92" s="161" t="str">
        <x:v>星图测控</x:v>
      </x:c>
      <x:c r="C92" s="161" t="str">
        <x:v>NUM-920116-00001</x:v>
      </x:c>
      <x:c r="D92" s="161" t="str">
        <x:v>EVT-920116-0001</x:v>
      </x:c>
      <x:c r="E92" s="161" t="str">
        <x:v>SHARE_QUANTITY</x:v>
      </x:c>
      <x:c r="F92" s="161" t="str">
        <x:v>7,500,000股</x:v>
      </x:c>
      <x:c r="G92" s="161" t="n">
        <x:v>7500000</x:v>
      </x:c>
      <x:c r="H92" s="161" t="str">
        <x:v>股</x:v>
      </x:c>
      <x:c r="I92" s="161"/>
      <x:c r="J92" s="161" t="n">
        <x:v>1</x:v>
      </x:c>
      <x:c r="K92" s="161" t="n">
        <x:v>7500000</x:v>
      </x:c>
      <x:c r="L92" s="161" t="str">
        <x:v>DISCLOSED</x:v>
      </x:c>
      <x:c r="M92" s="161" t="str">
        <x:v>EVD-920116-0001-02</x:v>
      </x:c>
      <x:c r="N92" s="161" t="n">
        <x:v>35</x:v>
      </x:c>
      <x:c r="O92" s="161" t="n">
        <x:v>35</x:v>
      </x:c>
      <x:c r="P92" s="161" t="str">
        <x:v>印发《关于同意中科星图测控技术股份有限公司股票定向发行的函》（股转函〔2023〕876号）。本次股票发行股数为7,500,000股，每股价格为人民币6.30元，募集资金总额为47,250,000.00元。本次发行的具体情况如下：序号发行对象</x:v>
      </x:c>
      <x:c r="Q92" s="161" t="n">
        <x:v>0.82</x:v>
      </x:c>
      <x:c r="R92" s="161" t="str">
        <x:v>否</x:v>
      </x:c>
      <x:c r="S92" s="167"/>
    </x:row>
    <x:row r="93" ht="30" customHeight="1">
      <x:c r="A93" s="199" t="n">
        <x:v>920116</x:v>
      </x:c>
      <x:c r="B93" s="169" t="str">
        <x:v>星图测控</x:v>
      </x:c>
      <x:c r="C93" s="169" t="str">
        <x:v>NUM-920116-00002</x:v>
      </x:c>
      <x:c r="D93" s="169" t="str">
        <x:v>EVT-920116-0001</x:v>
      </x:c>
      <x:c r="E93" s="169" t="str">
        <x:v>SHARE_PRICE</x:v>
      </x:c>
      <x:c r="F93" s="169" t="str">
        <x:v>发行价格6.30元</x:v>
      </x:c>
      <x:c r="G93" s="169" t="n">
        <x:v>6.3</x:v>
      </x:c>
      <x:c r="H93" s="169" t="str">
        <x:v>元</x:v>
      </x:c>
      <x:c r="I93" s="169" t="str">
        <x:v>CNY</x:v>
      </x:c>
      <x:c r="J93" s="169" t="n">
        <x:v>1</x:v>
      </x:c>
      <x:c r="K93" s="169" t="n">
        <x:v>6.3</x:v>
      </x:c>
      <x:c r="L93" s="169" t="str">
        <x:v>DISCLOSED</x:v>
      </x:c>
      <x:c r="M93" s="169" t="str">
        <x:v>EVD-920116-0001-03</x:v>
      </x:c>
      <x:c r="N93" s="169" t="n">
        <x:v>35</x:v>
      </x:c>
      <x:c r="O93" s="169" t="n">
        <x:v>35</x:v>
      </x:c>
      <x:c r="P93" s="169" t="str">
        <x:v>]第ZG11482号），经审验，截至2023年5月8日止，公司已定向发行人民币普通股7,500,000股，每股发行价格6.30元，共募集资金人民币47,250,000.00元，扣除不含税发行费用人民币561,084.91元，实际募集资金净</x:v>
      </x:c>
      <x:c r="Q93" s="169" t="n">
        <x:v>0.91</x:v>
      </x:c>
      <x:c r="R93" s="169" t="str">
        <x:v>否</x:v>
      </x:c>
      <x:c r="S93" s="170"/>
    </x:row>
  </x:sheetData>
  <x:pageMargins left="0.7" right="0.7" top="0.75" bottom="0.75" header="0.3" footer="0.3"/>
  <x:tableParts count="1">
    <x:tablePart xmlns:r="http://schemas.openxmlformats.org/officeDocument/2006/relationships" r:id="R9bf5d336677f47ad"/>
  </x:tableParts>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103" t="str">
        <x:v>证券代码</x:v>
      </x:c>
      <x:c r="B1" s="104" t="str">
        <x:v>公司简称</x:v>
      </x:c>
      <x:c r="C1" s="104" t="str">
        <x:v>校验ID</x:v>
      </x:c>
      <x:c r="D1" s="104" t="str">
        <x:v>事件ID</x:v>
      </x:c>
      <x:c r="E1" s="104" t="str">
        <x:v>交易ID</x:v>
      </x:c>
      <x:c r="F1" s="104" t="str">
        <x:v>规则ID</x:v>
      </x:c>
      <x:c r="G1" s="104" t="str">
        <x:v>校验规则</x:v>
      </x:c>
      <x:c r="H1" s="104" t="str">
        <x:v>校验状态</x:v>
      </x:c>
      <x:c r="I1" s="104" t="str">
        <x:v>披露输入事实ID</x:v>
      </x:c>
      <x:c r="J1" s="104" t="str">
        <x:v>输入值</x:v>
      </x:c>
      <x:c r="K1" s="104" t="str">
        <x:v>计算公式</x:v>
      </x:c>
      <x:c r="L1" s="104" t="str">
        <x:v>计算值</x:v>
      </x:c>
      <x:c r="M1" s="104" t="str">
        <x:v>披露比较值</x:v>
      </x:c>
      <x:c r="N1" s="104" t="str">
        <x:v>绝对差异</x:v>
      </x:c>
      <x:c r="O1" s="104" t="str">
        <x:v>相对差异</x:v>
      </x:c>
      <x:c r="P1" s="104" t="str">
        <x:v>证据ID</x:v>
      </x:c>
      <x:c r="Q1" s="104" t="str">
        <x:v>是否复核</x:v>
      </x:c>
      <x:c r="R1" s="105" t="str">
        <x:v>复核原因</x:v>
      </x:c>
    </x:row>
    <x:row r="2" ht="30" customHeight="1">
      <x:c r="A2" s="197" t="n">
        <x:v>1282</x:v>
      </x:c>
      <x:c r="B2" s="164" t="str">
        <x:v>三联锻造</x:v>
      </x:c>
      <x:c r="C2" s="164" t="str">
        <x:v>VAL-001282-00001</x:v>
      </x:c>
      <x:c r="D2" s="164" t="str">
        <x:v>EVT-001282-0003</x:v>
      </x:c>
      <x:c r="E2" s="164" t="str">
        <x:v>TRX-001282-0003-01</x:v>
      </x:c>
      <x:c r="F2" s="164" t="str">
        <x:v>NV-CAP-001</x:v>
      </x:c>
      <x:c r="G2" s="164" t="str">
        <x:v>增资前注册资本+增资额=增资后注册资本</x:v>
      </x:c>
      <x:c r="H2" s="164" t="str">
        <x:v>NOT_APPLICABLE</x:v>
      </x:c>
      <x:c r="I2" s="164" t="str">
        <x:v>["NUM-001282-00001", "NUM-001282-00002"]</x:v>
      </x:c>
      <x:c r="J2" s="164" t="str">
        <x:v>{"registered_capital_before": 81500000.0, "capital_increase_amount": null, "registered_capital_after": 84980000.0}</x:v>
      </x:c>
      <x:c r="K2" s="164" t="str"/>
      <x:c r="L2" s="164" t="str"/>
      <x:c r="M2" s="164" t="str"/>
      <x:c r="N2" s="164" t="str"/>
      <x:c r="O2" s="164" t="str"/>
      <x:c r="P2" s="164" t="str">
        <x:v>["EVD-001282-0004-01"]</x:v>
      </x:c>
      <x:c r="Q2" s="164" t="str">
        <x:v>False</x:v>
      </x:c>
      <x:c r="R2" s="165" t="str">
        <x:v>原文未同时披露增资前注册资本、增资额和增资后注册资本</x:v>
      </x:c>
    </x:row>
    <x:row r="3" ht="30" customHeight="1">
      <x:c r="A3" s="198" t="n">
        <x:v>1282</x:v>
      </x:c>
      <x:c r="B3" s="161" t="str">
        <x:v>三联锻造</x:v>
      </x:c>
      <x:c r="C3" s="161" t="str">
        <x:v>VAL-001282-00002</x:v>
      </x:c>
      <x:c r="D3" s="161" t="str">
        <x:v>EVT-001282-0003</x:v>
      </x:c>
      <x:c r="E3" s="161" t="str">
        <x:v>TRX-001282-0003-01</x:v>
      </x:c>
      <x:c r="F3" s="161" t="str">
        <x:v>NV-PRICE-001</x:v>
      </x:c>
      <x:c r="G3" s="161" t="str">
        <x:v>股份数量×每股价格=交易对价</x:v>
      </x:c>
      <x:c r="H3" s="161" t="str">
        <x:v>NOT_APPLICABLE</x:v>
      </x:c>
      <x:c r="I3" s="161" t="str">
        <x:v>["NUM-001282-00003", "NUM-001282-00004"]</x:v>
      </x:c>
      <x:c r="J3" s="161" t="str">
        <x:v>{"share_quantity": null, "share_price": 4.5, "consideration": null}</x:v>
      </x:c>
      <x:c r="K3" s="161" t="str"/>
      <x:c r="L3" s="161" t="str"/>
      <x:c r="M3" s="161" t="str"/>
      <x:c r="N3" s="161" t="str"/>
      <x:c r="O3" s="161" t="str"/>
      <x:c r="P3" s="161" t="str">
        <x:v>["EVD-001282-0004-01"]</x:v>
      </x:c>
      <x:c r="Q3" s="161" t="str">
        <x:v>False</x:v>
      </x:c>
      <x:c r="R3" s="167" t="str">
        <x:v>原文未同时披露股份数量、每股价格和交易对价</x:v>
      </x:c>
    </x:row>
    <x:row r="4" ht="30" customHeight="1">
      <x:c r="A4" s="198" t="n">
        <x:v>301581</x:v>
      </x:c>
      <x:c r="B4" s="161" t="str">
        <x:v>黄山谷捷</x:v>
      </x:c>
      <x:c r="C4" s="161" t="str">
        <x:v>VAL-301581-00003</x:v>
      </x:c>
      <x:c r="D4" s="161" t="str">
        <x:v>EVT-301581-0003</x:v>
      </x:c>
      <x:c r="E4" s="161" t="str">
        <x:v>TRX-301581-0003-01</x:v>
      </x:c>
      <x:c r="F4" s="161" t="str">
        <x:v>NV-PRICE-001</x:v>
      </x:c>
      <x:c r="G4" s="161" t="str">
        <x:v>股份数量×每股价格=交易对价</x:v>
      </x:c>
      <x:c r="H4" s="161" t="str">
        <x:v>NOT_APPLICABLE</x:v>
      </x:c>
      <x:c r="I4" s="161" t="str">
        <x:v>["NUM-301581-00001"]</x:v>
      </x:c>
      <x:c r="J4" s="161" t="str">
        <x:v>{"share_quantity": 17142857.0, "share_price": null, "consideration": null}</x:v>
      </x:c>
      <x:c r="K4" s="161" t="str"/>
      <x:c r="L4" s="161" t="str"/>
      <x:c r="M4" s="161" t="str"/>
      <x:c r="N4" s="161" t="str"/>
      <x:c r="O4" s="161" t="str"/>
      <x:c r="P4" s="161" t="str">
        <x:v>["EVD-301581-0005-01"]</x:v>
      </x:c>
      <x:c r="Q4" s="161" t="str">
        <x:v>False</x:v>
      </x:c>
      <x:c r="R4" s="167" t="str">
        <x:v>原文未同时披露股份数量、每股价格和交易对价</x:v>
      </x:c>
    </x:row>
    <x:row r="5" ht="30" customHeight="1">
      <x:c r="A5" s="198" t="n">
        <x:v>301581</x:v>
      </x:c>
      <x:c r="B5" s="161" t="str">
        <x:v>黄山谷捷</x:v>
      </x:c>
      <x:c r="C5" s="161" t="str">
        <x:v>VAL-301581-00004</x:v>
      </x:c>
      <x:c r="D5" s="161" t="str">
        <x:v>EVT-301581-0004</x:v>
      </x:c>
      <x:c r="E5" s="161" t="str">
        <x:v>TRX-301581-0004-01</x:v>
      </x:c>
      <x:c r="F5" s="161" t="str">
        <x:v>NV-CAP-001</x:v>
      </x:c>
      <x:c r="G5" s="161" t="str">
        <x:v>增资前注册资本+增资额=增资后注册资本</x:v>
      </x:c>
      <x:c r="H5" s="161" t="str">
        <x:v>NOT_APPLICABLE</x:v>
      </x:c>
      <x:c r="I5" s="161" t="str">
        <x:v>["NUM-301581-00002"]</x:v>
      </x:c>
      <x:c r="J5" s="161" t="str">
        <x:v>{"registered_capital_before": null, "capital_increase_amount": 18045113.0, "registered_capital_after": null}</x:v>
      </x:c>
      <x:c r="K5" s="161" t="str"/>
      <x:c r="L5" s="161" t="str"/>
      <x:c r="M5" s="161" t="str"/>
      <x:c r="N5" s="161" t="str"/>
      <x:c r="O5" s="161" t="str"/>
      <x:c r="P5" s="161" t="str">
        <x:v>["EVD-301581-0005-01"]</x:v>
      </x:c>
      <x:c r="Q5" s="161" t="str">
        <x:v>False</x:v>
      </x:c>
      <x:c r="R5" s="167" t="str">
        <x:v>原文未同时披露增资前注册资本、增资额和增资后注册资本</x:v>
      </x:c>
    </x:row>
    <x:row r="6" ht="30" customHeight="1">
      <x:c r="A6" s="198" t="n">
        <x:v>301581</x:v>
      </x:c>
      <x:c r="B6" s="161" t="str">
        <x:v>黄山谷捷</x:v>
      </x:c>
      <x:c r="C6" s="161" t="str">
        <x:v>VAL-301581-00005</x:v>
      </x:c>
      <x:c r="D6" s="161" t="str">
        <x:v>EVT-301581-0004</x:v>
      </x:c>
      <x:c r="E6" s="161" t="str">
        <x:v>TRX-301581-0004-01</x:v>
      </x:c>
      <x:c r="F6" s="161" t="str">
        <x:v>NV-PRICE-001</x:v>
      </x:c>
      <x:c r="G6" s="161" t="str">
        <x:v>股份数量×每股价格=交易对价</x:v>
      </x:c>
      <x:c r="H6" s="161" t="str">
        <x:v>NOT_APPLICABLE</x:v>
      </x:c>
      <x:c r="I6" s="161" t="str">
        <x:v>[]</x:v>
      </x:c>
      <x:c r="J6" s="161" t="str">
        <x:v>{"share_quantity": null, "share_price": null, "consideration": null}</x:v>
      </x:c>
      <x:c r="K6" s="161" t="str"/>
      <x:c r="L6" s="161" t="str"/>
      <x:c r="M6" s="161" t="str"/>
      <x:c r="N6" s="161" t="str"/>
      <x:c r="O6" s="161" t="str"/>
      <x:c r="P6" s="161" t="str">
        <x:v>[]</x:v>
      </x:c>
      <x:c r="Q6" s="161" t="str">
        <x:v>False</x:v>
      </x:c>
      <x:c r="R6" s="167" t="str">
        <x:v>原文未同时披露股份数量、每股价格和交易对价</x:v>
      </x:c>
    </x:row>
    <x:row r="7" ht="30" customHeight="1">
      <x:c r="A7" s="198" t="n">
        <x:v>301581</x:v>
      </x:c>
      <x:c r="B7" s="161" t="str">
        <x:v>黄山谷捷</x:v>
      </x:c>
      <x:c r="C7" s="161" t="str">
        <x:v>VAL-301581-00006</x:v>
      </x:c>
      <x:c r="D7" s="161" t="str">
        <x:v>EVT-301581-0005</x:v>
      </x:c>
      <x:c r="E7" s="161" t="str">
        <x:v>TRX-301581-0005-01</x:v>
      </x:c>
      <x:c r="F7" s="161" t="str">
        <x:v>NV-CAP-001</x:v>
      </x:c>
      <x:c r="G7" s="161" t="str">
        <x:v>增资前注册资本+增资额=增资后注册资本</x:v>
      </x:c>
      <x:c r="H7" s="161" t="str">
        <x:v>PASSED</x:v>
      </x:c>
      <x:c r="I7" s="161" t="str">
        <x:v>["NUM-301581-00001", "NUM-301581-00004", "NUM-301581-00002"]</x:v>
      </x:c>
      <x:c r="J7" s="161" t="str">
        <x:v>{"registered_capital_before": 17142857.0, "capital_increase_amount": 902256.0, "registered_capital_after": 18045113.0}</x:v>
      </x:c>
      <x:c r="K7" s="161" t="str">
        <x:v>registered_capital_before + capital_increase_amount</x:v>
      </x:c>
      <x:c r="L7" s="161" t="str">
        <x:v>18045113.0</x:v>
      </x:c>
      <x:c r="M7" s="161" t="str">
        <x:v>18045113.0</x:v>
      </x:c>
      <x:c r="N7" s="161" t="str">
        <x:v>0.0</x:v>
      </x:c>
      <x:c r="O7" s="161" t="str">
        <x:v>0.0</x:v>
      </x:c>
      <x:c r="P7" s="161" t="str">
        <x:v>["EVD-301581-0005-01"]</x:v>
      </x:c>
      <x:c r="Q7" s="161" t="str">
        <x:v>False</x:v>
      </x:c>
      <x:c r="R7" s="167" t="str"/>
    </x:row>
    <x:row r="8" ht="30" customHeight="1">
      <x:c r="A8" s="198" t="n">
        <x:v>301581</x:v>
      </x:c>
      <x:c r="B8" s="161" t="str">
        <x:v>黄山谷捷</x:v>
      </x:c>
      <x:c r="C8" s="161" t="str">
        <x:v>VAL-301581-00007</x:v>
      </x:c>
      <x:c r="D8" s="161" t="str">
        <x:v>EVT-301581-0005</x:v>
      </x:c>
      <x:c r="E8" s="161" t="str">
        <x:v>TRX-301581-0005-01</x:v>
      </x:c>
      <x:c r="F8" s="161" t="str">
        <x:v>NV-PRICE-001</x:v>
      </x:c>
      <x:c r="G8" s="161" t="str">
        <x:v>股份数量×每股价格=交易对价</x:v>
      </x:c>
      <x:c r="H8" s="161" t="str">
        <x:v>NOT_APPLICABLE</x:v>
      </x:c>
      <x:c r="I8" s="161" t="str">
        <x:v>[]</x:v>
      </x:c>
      <x:c r="J8" s="161" t="str">
        <x:v>{"share_quantity": null, "share_price": null, "consideration": null}</x:v>
      </x:c>
      <x:c r="K8" s="161" t="str"/>
      <x:c r="L8" s="161" t="str"/>
      <x:c r="M8" s="161" t="str"/>
      <x:c r="N8" s="161" t="str"/>
      <x:c r="O8" s="161" t="str"/>
      <x:c r="P8" s="161" t="str">
        <x:v>[]</x:v>
      </x:c>
      <x:c r="Q8" s="161" t="str">
        <x:v>False</x:v>
      </x:c>
      <x:c r="R8" s="167" t="str">
        <x:v>原文未同时披露股份数量、每股价格和交易对价</x:v>
      </x:c>
    </x:row>
    <x:row r="9" ht="30" customHeight="1">
      <x:c r="A9" s="198" t="n">
        <x:v>603418</x:v>
      </x:c>
      <x:c r="B9" s="161" t="str">
        <x:v>友升股份</x:v>
      </x:c>
      <x:c r="C9" s="161" t="str">
        <x:v>VAL-603418-00008</x:v>
      </x:c>
      <x:c r="D9" s="161" t="str">
        <x:v>EVT-603418-0003</x:v>
      </x:c>
      <x:c r="E9" s="161" t="str">
        <x:v>TRX-603418-0003-01</x:v>
      </x:c>
      <x:c r="F9" s="161" t="str">
        <x:v>NV-CAP-001</x:v>
      </x:c>
      <x:c r="G9" s="161" t="str">
        <x:v>增资前注册资本+增资额=增资后注册资本</x:v>
      </x:c>
      <x:c r="H9" s="161" t="str">
        <x:v>NOT_APPLICABLE</x:v>
      </x:c>
      <x:c r="I9" s="161" t="str">
        <x:v>["NUM-603418-00002"]</x:v>
      </x:c>
      <x:c r="J9" s="161" t="str">
        <x:v>{"registered_capital_before": null, "capital_increase_amount": null, "registered_capital_after": null}</x:v>
      </x:c>
      <x:c r="K9" s="161" t="str"/>
      <x:c r="L9" s="161" t="str"/>
      <x:c r="M9" s="161" t="str"/>
      <x:c r="N9" s="161" t="str"/>
      <x:c r="O9" s="161" t="str"/>
      <x:c r="P9" s="161" t="str">
        <x:v>["EVD-603418-0005-01"]</x:v>
      </x:c>
      <x:c r="Q9" s="161" t="str">
        <x:v>False</x:v>
      </x:c>
      <x:c r="R9" s="167" t="str">
        <x:v>原文未同时披露增资前注册资本、增资额和增资后注册资本</x:v>
      </x:c>
    </x:row>
    <x:row r="10" ht="30" customHeight="1">
      <x:c r="A10" s="198" t="n">
        <x:v>603418</x:v>
      </x:c>
      <x:c r="B10" s="161" t="str">
        <x:v>友升股份</x:v>
      </x:c>
      <x:c r="C10" s="161" t="str">
        <x:v>VAL-603418-00009</x:v>
      </x:c>
      <x:c r="D10" s="161" t="str">
        <x:v>EVT-603418-0003</x:v>
      </x:c>
      <x:c r="E10" s="161" t="str">
        <x:v>TRX-603418-0003-01</x:v>
      </x:c>
      <x:c r="F10" s="161" t="str">
        <x:v>NV-PRICE-001</x:v>
      </x:c>
      <x:c r="G10" s="161" t="str">
        <x:v>股份数量×每股价格=交易对价</x:v>
      </x:c>
      <x:c r="H10" s="161" t="str">
        <x:v>NOT_APPLICABLE</x:v>
      </x:c>
      <x:c r="I10" s="161" t="str">
        <x:v>[]</x:v>
      </x:c>
      <x:c r="J10" s="161" t="str">
        <x:v>{"share_quantity": null, "share_price": null, "consideration": null}</x:v>
      </x:c>
      <x:c r="K10" s="161" t="str"/>
      <x:c r="L10" s="161" t="str"/>
      <x:c r="M10" s="161" t="str"/>
      <x:c r="N10" s="161" t="str"/>
      <x:c r="O10" s="161" t="str"/>
      <x:c r="P10" s="161" t="str">
        <x:v>[]</x:v>
      </x:c>
      <x:c r="Q10" s="161" t="str">
        <x:v>False</x:v>
      </x:c>
      <x:c r="R10" s="167" t="str">
        <x:v>原文未同时披露股份数量、每股价格和交易对价</x:v>
      </x:c>
    </x:row>
    <x:row r="11" ht="30" customHeight="1">
      <x:c r="A11" s="198" t="n">
        <x:v>603418</x:v>
      </x:c>
      <x:c r="B11" s="161" t="str">
        <x:v>友升股份</x:v>
      </x:c>
      <x:c r="C11" s="161" t="str">
        <x:v>VAL-603418-00010</x:v>
      </x:c>
      <x:c r="D11" s="161" t="str">
        <x:v>EVT-603418-0004</x:v>
      </x:c>
      <x:c r="E11" s="161" t="str">
        <x:v>TRX-603418-0004-01</x:v>
      </x:c>
      <x:c r="F11" s="161" t="str">
        <x:v>NV-CAP-001</x:v>
      </x:c>
      <x:c r="G11" s="161" t="str">
        <x:v>增资前注册资本+增资额=增资后注册资本</x:v>
      </x:c>
      <x:c r="H11" s="161" t="str">
        <x:v>NOT_APPLICABLE</x:v>
      </x:c>
      <x:c r="I11" s="161" t="str">
        <x:v>[]</x:v>
      </x:c>
      <x:c r="J11" s="161" t="str">
        <x:v>{"registered_capital_before": null, "capital_increase_amount": null, "registered_capital_after": null}</x:v>
      </x:c>
      <x:c r="K11" s="161" t="str"/>
      <x:c r="L11" s="161" t="str"/>
      <x:c r="M11" s="161" t="str"/>
      <x:c r="N11" s="161" t="str"/>
      <x:c r="O11" s="161" t="str"/>
      <x:c r="P11" s="161" t="str">
        <x:v>[]</x:v>
      </x:c>
      <x:c r="Q11" s="161" t="str">
        <x:v>False</x:v>
      </x:c>
      <x:c r="R11" s="167" t="str">
        <x:v>原文未同时披露增资前注册资本、增资额和增资后注册资本</x:v>
      </x:c>
    </x:row>
    <x:row r="12" ht="30" customHeight="1">
      <x:c r="A12" s="198" t="n">
        <x:v>603418</x:v>
      </x:c>
      <x:c r="B12" s="161" t="str">
        <x:v>友升股份</x:v>
      </x:c>
      <x:c r="C12" s="161" t="str">
        <x:v>VAL-603418-00011</x:v>
      </x:c>
      <x:c r="D12" s="161" t="str">
        <x:v>EVT-603418-0004</x:v>
      </x:c>
      <x:c r="E12" s="161" t="str">
        <x:v>TRX-603418-0004-01</x:v>
      </x:c>
      <x:c r="F12" s="161" t="str">
        <x:v>NV-PRICE-001</x:v>
      </x:c>
      <x:c r="G12" s="161" t="str">
        <x:v>股份数量×每股价格=交易对价</x:v>
      </x:c>
      <x:c r="H12" s="161" t="str">
        <x:v>NOT_APPLICABLE</x:v>
      </x:c>
      <x:c r="I12" s="161" t="str">
        <x:v>[]</x:v>
      </x:c>
      <x:c r="J12" s="161" t="str">
        <x:v>{"share_quantity": null, "share_price": null, "consideration": null}</x:v>
      </x:c>
      <x:c r="K12" s="161" t="str"/>
      <x:c r="L12" s="161" t="str"/>
      <x:c r="M12" s="161" t="str"/>
      <x:c r="N12" s="161" t="str"/>
      <x:c r="O12" s="161" t="str"/>
      <x:c r="P12" s="161" t="str">
        <x:v>[]</x:v>
      </x:c>
      <x:c r="Q12" s="161" t="str">
        <x:v>False</x:v>
      </x:c>
      <x:c r="R12" s="167" t="str">
        <x:v>原文未同时披露股份数量、每股价格和交易对价</x:v>
      </x:c>
    </x:row>
    <x:row r="13" ht="30" customHeight="1">
      <x:c r="A13" s="198" t="n">
        <x:v>688758</x:v>
      </x:c>
      <x:c r="B13" s="161" t="str">
        <x:v>赛分科技</x:v>
      </x:c>
      <x:c r="C13" s="161" t="str">
        <x:v>VAL-688758-00012</x:v>
      </x:c>
      <x:c r="D13" s="161" t="str">
        <x:v>EVT-688758-0003</x:v>
      </x:c>
      <x:c r="E13" s="161" t="str">
        <x:v>TRX-688758-0003-01</x:v>
      </x:c>
      <x:c r="F13" s="161" t="str">
        <x:v>NV-PRICE-001</x:v>
      </x:c>
      <x:c r="G13" s="161" t="str">
        <x:v>股份数量×每股价格=交易对价</x:v>
      </x:c>
      <x:c r="H13" s="161" t="str">
        <x:v>NOT_APPLICABLE</x:v>
      </x:c>
      <x:c r="I13" s="161" t="str">
        <x:v>[]</x:v>
      </x:c>
      <x:c r="J13" s="161" t="str">
        <x:v>{"share_quantity": null, "share_price": null, "consideration": null}</x:v>
      </x:c>
      <x:c r="K13" s="161" t="str"/>
      <x:c r="L13" s="161" t="str"/>
      <x:c r="M13" s="161" t="str"/>
      <x:c r="N13" s="161" t="str"/>
      <x:c r="O13" s="161" t="str"/>
      <x:c r="P13" s="161" t="str">
        <x:v>[]</x:v>
      </x:c>
      <x:c r="Q13" s="161" t="str">
        <x:v>False</x:v>
      </x:c>
      <x:c r="R13" s="167" t="str">
        <x:v>原文未同时披露股份数量、每股价格和交易对价</x:v>
      </x:c>
    </x:row>
    <x:row r="14" ht="30" customHeight="1">
      <x:c r="A14" s="198" t="n">
        <x:v>688758</x:v>
      </x:c>
      <x:c r="B14" s="161" t="str">
        <x:v>赛分科技</x:v>
      </x:c>
      <x:c r="C14" s="161" t="str">
        <x:v>VAL-688758-00013</x:v>
      </x:c>
      <x:c r="D14" s="161" t="str">
        <x:v>EVT-688758-0003</x:v>
      </x:c>
      <x:c r="E14" s="161" t="str">
        <x:v>TRX-688758-0003-02</x:v>
      </x:c>
      <x:c r="F14" s="161" t="str">
        <x:v>NV-CAP-001</x:v>
      </x:c>
      <x:c r="G14" s="161" t="str">
        <x:v>增资前注册资本+增资额=增资后注册资本</x:v>
      </x:c>
      <x:c r="H14" s="161" t="str">
        <x:v>NOT_APPLICABLE</x:v>
      </x:c>
      <x:c r="I14" s="161" t="str">
        <x:v>[]</x:v>
      </x:c>
      <x:c r="J14" s="161" t="str">
        <x:v>{"registered_capital_before": null, "capital_increase_amount": null, "registered_capital_after": null}</x:v>
      </x:c>
      <x:c r="K14" s="161" t="str"/>
      <x:c r="L14" s="161" t="str"/>
      <x:c r="M14" s="161" t="str"/>
      <x:c r="N14" s="161" t="str"/>
      <x:c r="O14" s="161" t="str"/>
      <x:c r="P14" s="161" t="str">
        <x:v>[]</x:v>
      </x:c>
      <x:c r="Q14" s="161" t="str">
        <x:v>False</x:v>
      </x:c>
      <x:c r="R14" s="167" t="str">
        <x:v>原文未同时披露增资前注册资本、增资额和增资后注册资本</x:v>
      </x:c>
    </x:row>
    <x:row r="15" ht="30" customHeight="1">
      <x:c r="A15" s="198" t="n">
        <x:v>688758</x:v>
      </x:c>
      <x:c r="B15" s="161" t="str">
        <x:v>赛分科技</x:v>
      </x:c>
      <x:c r="C15" s="161" t="str">
        <x:v>VAL-688758-00014</x:v>
      </x:c>
      <x:c r="D15" s="161" t="str">
        <x:v>EVT-688758-0003</x:v>
      </x:c>
      <x:c r="E15" s="161" t="str">
        <x:v>TRX-688758-0003-02</x:v>
      </x:c>
      <x:c r="F15" s="161" t="str">
        <x:v>NV-PRICE-001</x:v>
      </x:c>
      <x:c r="G15" s="161" t="str">
        <x:v>股份数量×每股价格=交易对价</x:v>
      </x:c>
      <x:c r="H15" s="161" t="str">
        <x:v>NOT_APPLICABLE</x:v>
      </x:c>
      <x:c r="I15" s="161" t="str">
        <x:v>[]</x:v>
      </x:c>
      <x:c r="J15" s="161" t="str">
        <x:v>{"share_quantity": null, "share_price": null, "consideration": null}</x:v>
      </x:c>
      <x:c r="K15" s="161" t="str"/>
      <x:c r="L15" s="161" t="str"/>
      <x:c r="M15" s="161" t="str"/>
      <x:c r="N15" s="161" t="str"/>
      <x:c r="O15" s="161" t="str"/>
      <x:c r="P15" s="161" t="str">
        <x:v>[]</x:v>
      </x:c>
      <x:c r="Q15" s="161" t="str">
        <x:v>False</x:v>
      </x:c>
      <x:c r="R15" s="167" t="str">
        <x:v>原文未同时披露股份数量、每股价格和交易对价</x:v>
      </x:c>
    </x:row>
    <x:row r="16" ht="30" customHeight="1">
      <x:c r="A16" s="198" t="n">
        <x:v>688758</x:v>
      </x:c>
      <x:c r="B16" s="161" t="str">
        <x:v>赛分科技</x:v>
      </x:c>
      <x:c r="C16" s="161" t="str">
        <x:v>VAL-688758-00015</x:v>
      </x:c>
      <x:c r="D16" s="161" t="str">
        <x:v>EVT-688758-0004</x:v>
      </x:c>
      <x:c r="E16" s="161" t="str">
        <x:v>TRX-688758-0004-01</x:v>
      </x:c>
      <x:c r="F16" s="161" t="str">
        <x:v>NV-PRICE-001</x:v>
      </x:c>
      <x:c r="G16" s="161" t="str">
        <x:v>股份数量×每股价格=交易对价</x:v>
      </x:c>
      <x:c r="H16" s="161" t="str">
        <x:v>NOT_APPLICABLE</x:v>
      </x:c>
      <x:c r="I16" s="161" t="str">
        <x:v>[]</x:v>
      </x:c>
      <x:c r="J16" s="161" t="str">
        <x:v>{"share_quantity": null, "share_price": null, "consideration": null}</x:v>
      </x:c>
      <x:c r="K16" s="161" t="str"/>
      <x:c r="L16" s="161" t="str"/>
      <x:c r="M16" s="161" t="str"/>
      <x:c r="N16" s="161" t="str"/>
      <x:c r="O16" s="161" t="str"/>
      <x:c r="P16" s="161" t="str">
        <x:v>[]</x:v>
      </x:c>
      <x:c r="Q16" s="161" t="str">
        <x:v>False</x:v>
      </x:c>
      <x:c r="R16" s="167" t="str">
        <x:v>原文未同时披露股份数量、每股价格和交易对价</x:v>
      </x:c>
    </x:row>
    <x:row r="17" ht="30" customHeight="1">
      <x:c r="A17" s="198" t="n">
        <x:v>688758</x:v>
      </x:c>
      <x:c r="B17" s="161" t="str">
        <x:v>赛分科技</x:v>
      </x:c>
      <x:c r="C17" s="161" t="str">
        <x:v>VAL-688758-00016</x:v>
      </x:c>
      <x:c r="D17" s="161" t="str">
        <x:v>EVT-688758-0005</x:v>
      </x:c>
      <x:c r="E17" s="161" t="str">
        <x:v>TRX-688758-0005-01</x:v>
      </x:c>
      <x:c r="F17" s="161" t="str">
        <x:v>NV-CAP-001</x:v>
      </x:c>
      <x:c r="G17" s="161" t="str">
        <x:v>增资前注册资本+增资额=增资后注册资本</x:v>
      </x:c>
      <x:c r="H17" s="161" t="str">
        <x:v>NOT_APPLICABLE</x:v>
      </x:c>
      <x:c r="I17" s="161" t="str">
        <x:v>[]</x:v>
      </x:c>
      <x:c r="J17" s="161" t="str">
        <x:v>{"registered_capital_before": null, "capital_increase_amount": null, "registered_capital_after": null}</x:v>
      </x:c>
      <x:c r="K17" s="161" t="str"/>
      <x:c r="L17" s="161" t="str"/>
      <x:c r="M17" s="161" t="str"/>
      <x:c r="N17" s="161" t="str"/>
      <x:c r="O17" s="161" t="str"/>
      <x:c r="P17" s="161" t="str">
        <x:v>[]</x:v>
      </x:c>
      <x:c r="Q17" s="161" t="str">
        <x:v>False</x:v>
      </x:c>
      <x:c r="R17" s="167" t="str">
        <x:v>原文未同时披露增资前注册资本、增资额和增资后注册资本</x:v>
      </x:c>
    </x:row>
    <x:row r="18" ht="30" customHeight="1">
      <x:c r="A18" s="198" t="n">
        <x:v>688758</x:v>
      </x:c>
      <x:c r="B18" s="161" t="str">
        <x:v>赛分科技</x:v>
      </x:c>
      <x:c r="C18" s="161" t="str">
        <x:v>VAL-688758-00017</x:v>
      </x:c>
      <x:c r="D18" s="161" t="str">
        <x:v>EVT-688758-0005</x:v>
      </x:c>
      <x:c r="E18" s="161" t="str">
        <x:v>TRX-688758-0005-01</x:v>
      </x:c>
      <x:c r="F18" s="161" t="str">
        <x:v>NV-PRICE-001</x:v>
      </x:c>
      <x:c r="G18" s="161" t="str">
        <x:v>股份数量×每股价格=交易对价</x:v>
      </x:c>
      <x:c r="H18" s="161" t="str">
        <x:v>NOT_APPLICABLE</x:v>
      </x:c>
      <x:c r="I18" s="161" t="str">
        <x:v>["NUM-688758-00001"]</x:v>
      </x:c>
      <x:c r="J18" s="161" t="str">
        <x:v>{"share_quantity": 31868556.0, "share_price": null, "consideration": null}</x:v>
      </x:c>
      <x:c r="K18" s="161" t="str"/>
      <x:c r="L18" s="161" t="str"/>
      <x:c r="M18" s="161" t="str"/>
      <x:c r="N18" s="161" t="str"/>
      <x:c r="O18" s="161" t="str"/>
      <x:c r="P18" s="161" t="str">
        <x:v>["EVD-688758-0007-01"]</x:v>
      </x:c>
      <x:c r="Q18" s="161" t="str">
        <x:v>False</x:v>
      </x:c>
      <x:c r="R18" s="167" t="str">
        <x:v>原文未同时披露股份数量、每股价格和交易对价</x:v>
      </x:c>
    </x:row>
    <x:row r="19" ht="30" customHeight="1">
      <x:c r="A19" s="198" t="n">
        <x:v>688758</x:v>
      </x:c>
      <x:c r="B19" s="161" t="str">
        <x:v>赛分科技</x:v>
      </x:c>
      <x:c r="C19" s="161" t="str">
        <x:v>VAL-688758-00018</x:v>
      </x:c>
      <x:c r="D19" s="161" t="str">
        <x:v>EVT-688758-0006</x:v>
      </x:c>
      <x:c r="E19" s="161" t="str">
        <x:v>TRX-688758-0006-01</x:v>
      </x:c>
      <x:c r="F19" s="161" t="str">
        <x:v>NV-CAP-001</x:v>
      </x:c>
      <x:c r="G19" s="161" t="str">
        <x:v>增资前注册资本+增资额=增资后注册资本</x:v>
      </x:c>
      <x:c r="H19" s="161" t="str">
        <x:v>NOT_APPLICABLE</x:v>
      </x:c>
      <x:c r="I19" s="161" t="str">
        <x:v>[]</x:v>
      </x:c>
      <x:c r="J19" s="161" t="str">
        <x:v>{"registered_capital_before": null, "capital_increase_amount": null, "registered_capital_after": null}</x:v>
      </x:c>
      <x:c r="K19" s="161" t="str"/>
      <x:c r="L19" s="161" t="str"/>
      <x:c r="M19" s="161" t="str"/>
      <x:c r="N19" s="161" t="str"/>
      <x:c r="O19" s="161" t="str"/>
      <x:c r="P19" s="161" t="str">
        <x:v>[]</x:v>
      </x:c>
      <x:c r="Q19" s="161" t="str">
        <x:v>False</x:v>
      </x:c>
      <x:c r="R19" s="167" t="str">
        <x:v>原文未同时披露增资前注册资本、增资额和增资后注册资本</x:v>
      </x:c>
    </x:row>
    <x:row r="20" ht="30" customHeight="1">
      <x:c r="A20" s="198" t="n">
        <x:v>688758</x:v>
      </x:c>
      <x:c r="B20" s="161" t="str">
        <x:v>赛分科技</x:v>
      </x:c>
      <x:c r="C20" s="161" t="str">
        <x:v>VAL-688758-00019</x:v>
      </x:c>
      <x:c r="D20" s="161" t="str">
        <x:v>EVT-688758-0006</x:v>
      </x:c>
      <x:c r="E20" s="161" t="str">
        <x:v>TRX-688758-0006-01</x:v>
      </x:c>
      <x:c r="F20" s="161" t="str">
        <x:v>NV-PRICE-001</x:v>
      </x:c>
      <x:c r="G20" s="161" t="str">
        <x:v>股份数量×每股价格=交易对价</x:v>
      </x:c>
      <x:c r="H20" s="161" t="str">
        <x:v>NOT_APPLICABLE</x:v>
      </x:c>
      <x:c r="I20" s="161" t="str">
        <x:v>["NUM-688758-00001"]</x:v>
      </x:c>
      <x:c r="J20" s="161" t="str">
        <x:v>{"share_quantity": 31868556.0, "share_price": null, "consideration": null}</x:v>
      </x:c>
      <x:c r="K20" s="161" t="str"/>
      <x:c r="L20" s="161" t="str"/>
      <x:c r="M20" s="161" t="str"/>
      <x:c r="N20" s="161" t="str"/>
      <x:c r="O20" s="161" t="str"/>
      <x:c r="P20" s="161" t="str">
        <x:v>["EVD-688758-0007-01"]</x:v>
      </x:c>
      <x:c r="Q20" s="161" t="str">
        <x:v>False</x:v>
      </x:c>
      <x:c r="R20" s="167" t="str">
        <x:v>原文未同时披露股份数量、每股价格和交易对价</x:v>
      </x:c>
    </x:row>
    <x:row r="21" ht="30" customHeight="1">
      <x:c r="A21" s="198" t="n">
        <x:v>688775</x:v>
      </x:c>
      <x:c r="B21" s="161" t="str">
        <x:v>影石创新</x:v>
      </x:c>
      <x:c r="C21" s="161" t="str">
        <x:v>VAL-688775-00020</x:v>
      </x:c>
      <x:c r="D21" s="161" t="str">
        <x:v>EVT-688775-0003</x:v>
      </x:c>
      <x:c r="E21" s="161" t="str">
        <x:v>TRX-688775-0003-01</x:v>
      </x:c>
      <x:c r="F21" s="161" t="str">
        <x:v>NV-PRICE-001</x:v>
      </x:c>
      <x:c r="G21" s="161" t="str">
        <x:v>股份数量×每股价格=交易对价</x:v>
      </x:c>
      <x:c r="H21" s="161" t="str">
        <x:v>NOT_APPLICABLE</x:v>
      </x:c>
      <x:c r="I21" s="161" t="str">
        <x:v>["NUM-688775-00001"]</x:v>
      </x:c>
      <x:c r="J21" s="161" t="str">
        <x:v>{"share_quantity": null, "share_price": null, "consideration": null}</x:v>
      </x:c>
      <x:c r="K21" s="161" t="str"/>
      <x:c r="L21" s="161" t="str"/>
      <x:c r="M21" s="161" t="str"/>
      <x:c r="N21" s="161" t="str"/>
      <x:c r="O21" s="161" t="str"/>
      <x:c r="P21" s="161" t="str">
        <x:v>["EVD-688775-0003-01"]</x:v>
      </x:c>
      <x:c r="Q21" s="161" t="str">
        <x:v>False</x:v>
      </x:c>
      <x:c r="R21" s="167" t="str">
        <x:v>原文未同时披露股份数量、每股价格和交易对价</x:v>
      </x:c>
    </x:row>
    <x:row r="22" ht="30" customHeight="1">
      <x:c r="A22" s="198" t="n">
        <x:v>920116</x:v>
      </x:c>
      <x:c r="B22" s="161" t="str">
        <x:v>星图测控</x:v>
      </x:c>
      <x:c r="C22" s="161" t="str">
        <x:v>VAL-920116-00021</x:v>
      </x:c>
      <x:c r="D22" s="161" t="str">
        <x:v>EVT-920116-0001</x:v>
      </x:c>
      <x:c r="E22" s="161" t="str">
        <x:v>TRX-920116-0001-01</x:v>
      </x:c>
      <x:c r="F22" s="161" t="str">
        <x:v>NV-CAP-001</x:v>
      </x:c>
      <x:c r="G22" s="161" t="str">
        <x:v>增资前注册资本+增资额=增资后注册资本</x:v>
      </x:c>
      <x:c r="H22" s="161" t="str">
        <x:v>NOT_APPLICABLE</x:v>
      </x:c>
      <x:c r="I22" s="161" t="str">
        <x:v>[]</x:v>
      </x:c>
      <x:c r="J22" s="161" t="str">
        <x:v>{"registered_capital_before": null, "capital_increase_amount": null, "registered_capital_after": null}</x:v>
      </x:c>
      <x:c r="K22" s="161" t="str"/>
      <x:c r="L22" s="161" t="str"/>
      <x:c r="M22" s="161" t="str"/>
      <x:c r="N22" s="161" t="str"/>
      <x:c r="O22" s="161" t="str"/>
      <x:c r="P22" s="161" t="str">
        <x:v>[]</x:v>
      </x:c>
      <x:c r="Q22" s="161" t="str">
        <x:v>False</x:v>
      </x:c>
      <x:c r="R22" s="167" t="str">
        <x:v>原文未同时披露增资前注册资本、增资额和增资后注册资本</x:v>
      </x:c>
    </x:row>
    <x:row r="23" ht="30" customHeight="1">
      <x:c r="A23" s="198" t="n">
        <x:v>920116</x:v>
      </x:c>
      <x:c r="B23" s="161" t="str">
        <x:v>星图测控</x:v>
      </x:c>
      <x:c r="C23" s="161" t="str">
        <x:v>VAL-920116-00022</x:v>
      </x:c>
      <x:c r="D23" s="161" t="str">
        <x:v>EVT-920116-0001</x:v>
      </x:c>
      <x:c r="E23" s="161" t="str">
        <x:v>TRX-920116-0001-01</x:v>
      </x:c>
      <x:c r="F23" s="161" t="str">
        <x:v>NV-PRICE-001</x:v>
      </x:c>
      <x:c r="G23" s="161" t="str">
        <x:v>股份数量×每股价格=交易对价</x:v>
      </x:c>
      <x:c r="H23" s="161" t="str">
        <x:v>NOT_APPLICABLE</x:v>
      </x:c>
      <x:c r="I23" s="161" t="str">
        <x:v>["NUM-920116-00001", "NUM-920116-00002"]</x:v>
      </x:c>
      <x:c r="J23" s="161" t="str">
        <x:v>{"share_quantity": 7500000.0, "share_price": 6.3, "consideration": null}</x:v>
      </x:c>
      <x:c r="K23" s="161" t="str"/>
      <x:c r="L23" s="161" t="str"/>
      <x:c r="M23" s="161" t="str"/>
      <x:c r="N23" s="161" t="str"/>
      <x:c r="O23" s="161" t="str"/>
      <x:c r="P23" s="161" t="str">
        <x:v>["EVD-920116-0001-02", "EVD-920116-0001-03"]</x:v>
      </x:c>
      <x:c r="Q23" s="161" t="str">
        <x:v>False</x:v>
      </x:c>
      <x:c r="R23" s="167" t="str">
        <x:v>原文未同时披露股份数量、每股价格和交易对价</x:v>
      </x:c>
    </x:row>
    <x:row r="24" ht="30" customHeight="1">
      <x:c r="A24" s="198" t="n">
        <x:v>1282</x:v>
      </x:c>
      <x:c r="B24" s="161" t="str">
        <x:v>三联锻造</x:v>
      </x:c>
      <x:c r="C24" s="161" t="str">
        <x:v>VAL-001282-00023</x:v>
      </x:c>
      <x:c r="D24" s="161" t="str">
        <x:v>EVT-001282-0001</x:v>
      </x:c>
      <x:c r="E24" s="161" t="str"/>
      <x:c r="F24" s="161" t="str">
        <x:v>NV-RATIO-001</x:v>
      </x:c>
      <x:c r="G24" s="161" t="str">
        <x:v>持股比例范围校验</x:v>
      </x:c>
      <x:c r="H24" s="161" t="str">
        <x:v>PASSED</x:v>
      </x:c>
      <x:c r="I24" s="161" t="str">
        <x:v>["NUM-001282-00003"]</x:v>
      </x:c>
      <x:c r="J24" s="161" t="str">
        <x:v>{"equity_ratio_normalized": 0.35000000000000003}</x:v>
      </x:c>
      <x:c r="K24" s="161" t="str"/>
      <x:c r="L24" s="161" t="str"/>
      <x:c r="M24" s="161" t="str"/>
      <x:c r="N24" s="161" t="str"/>
      <x:c r="O24" s="161" t="str"/>
      <x:c r="P24" s="161" t="str">
        <x:v>["EVD-001282-0001-01"]</x:v>
      </x:c>
      <x:c r="Q24" s="161" t="str">
        <x:v>False</x:v>
      </x:c>
      <x:c r="R24" s="167" t="str"/>
    </x:row>
    <x:row r="25" ht="30" customHeight="1">
      <x:c r="A25" s="198" t="n">
        <x:v>1282</x:v>
      </x:c>
      <x:c r="B25" s="161" t="str">
        <x:v>三联锻造</x:v>
      </x:c>
      <x:c r="C25" s="161" t="str">
        <x:v>VAL-001282-00024</x:v>
      </x:c>
      <x:c r="D25" s="161" t="str">
        <x:v>EVT-001282-0001</x:v>
      </x:c>
      <x:c r="E25" s="161" t="str"/>
      <x:c r="F25" s="161" t="str">
        <x:v>NV-RATIO-001</x:v>
      </x:c>
      <x:c r="G25" s="161" t="str">
        <x:v>持股比例范围校验</x:v>
      </x:c>
      <x:c r="H25" s="161" t="str">
        <x:v>PASSED</x:v>
      </x:c>
      <x:c r="I25" s="161" t="str">
        <x:v>["NUM-001282-00004"]</x:v>
      </x:c>
      <x:c r="J25" s="161" t="str">
        <x:v>{"equity_ratio_normalized": 0.325}</x:v>
      </x:c>
      <x:c r="K25" s="161" t="str"/>
      <x:c r="L25" s="161" t="str"/>
      <x:c r="M25" s="161" t="str"/>
      <x:c r="N25" s="161" t="str"/>
      <x:c r="O25" s="161" t="str"/>
      <x:c r="P25" s="161" t="str">
        <x:v>["EVD-001282-0001-01"]</x:v>
      </x:c>
      <x:c r="Q25" s="161" t="str">
        <x:v>False</x:v>
      </x:c>
      <x:c r="R25" s="167" t="str"/>
    </x:row>
    <x:row r="26" ht="30" customHeight="1">
      <x:c r="A26" s="198" t="n">
        <x:v>301581</x:v>
      </x:c>
      <x:c r="B26" s="161" t="str">
        <x:v>黄山谷捷</x:v>
      </x:c>
      <x:c r="C26" s="161" t="str">
        <x:v>VAL-301581-00025</x:v>
      </x:c>
      <x:c r="D26" s="161" t="str">
        <x:v>EVT-301581-0001</x:v>
      </x:c>
      <x:c r="E26" s="161" t="str"/>
      <x:c r="F26" s="161" t="str">
        <x:v>NV-RATIO-001</x:v>
      </x:c>
      <x:c r="G26" s="161" t="str">
        <x:v>持股比例范围校验</x:v>
      </x:c>
      <x:c r="H26" s="161" t="str">
        <x:v>PASSED</x:v>
      </x:c>
      <x:c r="I26" s="161" t="str">
        <x:v>["NUM-301581-00002"]</x:v>
      </x:c>
      <x:c r="J26" s="161" t="str">
        <x:v>{"equity_ratio_normalized": 0.78}</x:v>
      </x:c>
      <x:c r="K26" s="161" t="str"/>
      <x:c r="L26" s="161" t="str"/>
      <x:c r="M26" s="161" t="str"/>
      <x:c r="N26" s="161" t="str"/>
      <x:c r="O26" s="161" t="str"/>
      <x:c r="P26" s="161" t="str">
        <x:v>["EVD-301581-0001-01"]</x:v>
      </x:c>
      <x:c r="Q26" s="161" t="str">
        <x:v>False</x:v>
      </x:c>
      <x:c r="R26" s="167" t="str"/>
    </x:row>
    <x:row r="27" ht="30" customHeight="1">
      <x:c r="A27" s="198" t="n">
        <x:v>301581</x:v>
      </x:c>
      <x:c r="B27" s="161" t="str">
        <x:v>黄山谷捷</x:v>
      </x:c>
      <x:c r="C27" s="161" t="str">
        <x:v>VAL-301581-00026</x:v>
      </x:c>
      <x:c r="D27" s="161" t="str">
        <x:v>EVT-301581-0001</x:v>
      </x:c>
      <x:c r="E27" s="161" t="str"/>
      <x:c r="F27" s="161" t="str">
        <x:v>NV-RATIO-001</x:v>
      </x:c>
      <x:c r="G27" s="161" t="str">
        <x:v>持股比例范围校验</x:v>
      </x:c>
      <x:c r="H27" s="161" t="str">
        <x:v>PASSED</x:v>
      </x:c>
      <x:c r="I27" s="161" t="str">
        <x:v>["NUM-301581-00003"]</x:v>
      </x:c>
      <x:c r="J27" s="161" t="str">
        <x:v>{"equity_ratio_normalized": 0.11}</x:v>
      </x:c>
      <x:c r="K27" s="161" t="str"/>
      <x:c r="L27" s="161" t="str"/>
      <x:c r="M27" s="161" t="str"/>
      <x:c r="N27" s="161" t="str"/>
      <x:c r="O27" s="161" t="str"/>
      <x:c r="P27" s="161" t="str">
        <x:v>["EVD-301581-0001-01"]</x:v>
      </x:c>
      <x:c r="Q27" s="161" t="str">
        <x:v>False</x:v>
      </x:c>
      <x:c r="R27" s="167" t="str"/>
    </x:row>
    <x:row r="28" ht="30" customHeight="1">
      <x:c r="A28" s="198" t="n">
        <x:v>301581</x:v>
      </x:c>
      <x:c r="B28" s="161" t="str">
        <x:v>黄山谷捷</x:v>
      </x:c>
      <x:c r="C28" s="161" t="str">
        <x:v>VAL-301581-00027</x:v>
      </x:c>
      <x:c r="D28" s="161" t="str">
        <x:v>EVT-301581-0002</x:v>
      </x:c>
      <x:c r="E28" s="161" t="str"/>
      <x:c r="F28" s="161" t="str">
        <x:v>NV-RATIO-001</x:v>
      </x:c>
      <x:c r="G28" s="161" t="str">
        <x:v>持股比例范围校验</x:v>
      </x:c>
      <x:c r="H28" s="161" t="str">
        <x:v>NOT_APPLICABLE</x:v>
      </x:c>
      <x:c r="I28" s="161" t="str">
        <x:v>["NUM-301581-00001"]</x:v>
      </x:c>
      <x:c r="J28" s="161" t="str">
        <x:v>{"equity_ratio_normalized": null}</x:v>
      </x:c>
      <x:c r="K28" s="161" t="str"/>
      <x:c r="L28" s="161" t="str"/>
      <x:c r="M28" s="161" t="str"/>
      <x:c r="N28" s="161" t="str"/>
      <x:c r="O28" s="161" t="str"/>
      <x:c r="P28" s="161" t="str">
        <x:v>["EVD-301581-0002-03"]</x:v>
      </x:c>
      <x:c r="Q28" s="161" t="str">
        <x:v>False</x:v>
      </x:c>
      <x:c r="R28" s="167" t="str">
        <x:v>无效的自动持股比例事实已隔离；不作为披露数值参与校验</x:v>
      </x:c>
    </x:row>
    <x:row r="29" ht="30" customHeight="1">
      <x:c r="A29" s="198" t="n">
        <x:v>301581</x:v>
      </x:c>
      <x:c r="B29" s="161" t="str">
        <x:v>黄山谷捷</x:v>
      </x:c>
      <x:c r="C29" s="161" t="str">
        <x:v>VAL-301581-00028</x:v>
      </x:c>
      <x:c r="D29" s="161" t="str">
        <x:v>EVT-301581-0002</x:v>
      </x:c>
      <x:c r="E29" s="161" t="str"/>
      <x:c r="F29" s="161" t="str">
        <x:v>NV-RATIO-001</x:v>
      </x:c>
      <x:c r="G29" s="161" t="str">
        <x:v>持股比例范围校验</x:v>
      </x:c>
      <x:c r="H29" s="161" t="str">
        <x:v>NOT_APPLICABLE</x:v>
      </x:c>
      <x:c r="I29" s="161" t="str">
        <x:v>["NUM-301581-00002"]</x:v>
      </x:c>
      <x:c r="J29" s="161" t="str">
        <x:v>{"equity_ratio_normalized": null}</x:v>
      </x:c>
      <x:c r="K29" s="161" t="str"/>
      <x:c r="L29" s="161" t="str"/>
      <x:c r="M29" s="161" t="str"/>
      <x:c r="N29" s="161" t="str"/>
      <x:c r="O29" s="161" t="str"/>
      <x:c r="P29" s="161" t="str">
        <x:v>["EVD-301581-0002-03"]</x:v>
      </x:c>
      <x:c r="Q29" s="161" t="str">
        <x:v>False</x:v>
      </x:c>
      <x:c r="R29" s="167" t="str">
        <x:v>无效的自动持股比例事实已隔离；不作为披露数值参与校验</x:v>
      </x:c>
    </x:row>
    <x:row r="30" ht="30" customHeight="1">
      <x:c r="A30" s="198" t="n">
        <x:v>301581</x:v>
      </x:c>
      <x:c r="B30" s="161" t="str">
        <x:v>黄山谷捷</x:v>
      </x:c>
      <x:c r="C30" s="161" t="str">
        <x:v>VAL-301581-00029</x:v>
      </x:c>
      <x:c r="D30" s="161" t="str">
        <x:v>EVT-301581-0002</x:v>
      </x:c>
      <x:c r="E30" s="161" t="str"/>
      <x:c r="F30" s="161" t="str">
        <x:v>NV-RATIO-001</x:v>
      </x:c>
      <x:c r="G30" s="161" t="str">
        <x:v>持股比例范围校验</x:v>
      </x:c>
      <x:c r="H30" s="161" t="str">
        <x:v>NOT_APPLICABLE</x:v>
      </x:c>
      <x:c r="I30" s="161" t="str">
        <x:v>["NUM-301581-00003"]</x:v>
      </x:c>
      <x:c r="J30" s="161" t="str">
        <x:v>{"equity_ratio_normalized": null}</x:v>
      </x:c>
      <x:c r="K30" s="161" t="str"/>
      <x:c r="L30" s="161" t="str"/>
      <x:c r="M30" s="161" t="str"/>
      <x:c r="N30" s="161" t="str"/>
      <x:c r="O30" s="161" t="str"/>
      <x:c r="P30" s="161" t="str">
        <x:v>["EVD-301581-0002-03"]</x:v>
      </x:c>
      <x:c r="Q30" s="161" t="str">
        <x:v>False</x:v>
      </x:c>
      <x:c r="R30" s="167" t="str">
        <x:v>无效的自动持股比例事实已隔离；不作为披露数值参与校验</x:v>
      </x:c>
    </x:row>
    <x:row r="31" ht="30" customHeight="1">
      <x:c r="A31" s="198" t="n">
        <x:v>301581</x:v>
      </x:c>
      <x:c r="B31" s="161" t="str">
        <x:v>黄山谷捷</x:v>
      </x:c>
      <x:c r="C31" s="161" t="str">
        <x:v>VAL-301581-00030</x:v>
      </x:c>
      <x:c r="D31" s="161" t="str">
        <x:v>EVT-301581-0002</x:v>
      </x:c>
      <x:c r="E31" s="161" t="str"/>
      <x:c r="F31" s="161" t="str">
        <x:v>NV-RATIO-001</x:v>
      </x:c>
      <x:c r="G31" s="161" t="str">
        <x:v>持股比例范围校验</x:v>
      </x:c>
      <x:c r="H31" s="161" t="str">
        <x:v>NOT_APPLICABLE</x:v>
      </x:c>
      <x:c r="I31" s="161" t="str">
        <x:v>["NUM-301581-00004"]</x:v>
      </x:c>
      <x:c r="J31" s="161" t="str">
        <x:v>{"equity_ratio_normalized": null}</x:v>
      </x:c>
      <x:c r="K31" s="161" t="str"/>
      <x:c r="L31" s="161" t="str"/>
      <x:c r="M31" s="161" t="str"/>
      <x:c r="N31" s="161" t="str"/>
      <x:c r="O31" s="161" t="str"/>
      <x:c r="P31" s="161" t="str">
        <x:v>["EVD-301581-0002-03"]</x:v>
      </x:c>
      <x:c r="Q31" s="161" t="str">
        <x:v>False</x:v>
      </x:c>
      <x:c r="R31" s="167" t="str">
        <x:v>无效的自动持股比例事实已隔离；不作为披露数值参与校验</x:v>
      </x:c>
    </x:row>
    <x:row r="32" ht="30" customHeight="1">
      <x:c r="A32" s="198" t="n">
        <x:v>301581</x:v>
      </x:c>
      <x:c r="B32" s="161" t="str">
        <x:v>黄山谷捷</x:v>
      </x:c>
      <x:c r="C32" s="161" t="str">
        <x:v>VAL-301581-00031</x:v>
      </x:c>
      <x:c r="D32" s="161" t="str">
        <x:v>EVT-301581-0002</x:v>
      </x:c>
      <x:c r="E32" s="161" t="str"/>
      <x:c r="F32" s="161" t="str">
        <x:v>NV-RATIO-001</x:v>
      </x:c>
      <x:c r="G32" s="161" t="str">
        <x:v>持股比例范围校验</x:v>
      </x:c>
      <x:c r="H32" s="161" t="str">
        <x:v>NOT_APPLICABLE</x:v>
      </x:c>
      <x:c r="I32" s="161" t="str">
        <x:v>["NUM-301581-00005"]</x:v>
      </x:c>
      <x:c r="J32" s="161" t="str">
        <x:v>{"equity_ratio_normalized": null}</x:v>
      </x:c>
      <x:c r="K32" s="161" t="str"/>
      <x:c r="L32" s="161" t="str"/>
      <x:c r="M32" s="161" t="str"/>
      <x:c r="N32" s="161" t="str"/>
      <x:c r="O32" s="161" t="str"/>
      <x:c r="P32" s="161" t="str">
        <x:v>["EVD-301581-0002-03"]</x:v>
      </x:c>
      <x:c r="Q32" s="161" t="str">
        <x:v>False</x:v>
      </x:c>
      <x:c r="R32" s="167" t="str">
        <x:v>无效的自动持股比例事实已隔离；不作为披露数值参与校验</x:v>
      </x:c>
    </x:row>
    <x:row r="33" ht="30" customHeight="1">
      <x:c r="A33" s="198" t="n">
        <x:v>301581</x:v>
      </x:c>
      <x:c r="B33" s="161" t="str">
        <x:v>黄山谷捷</x:v>
      </x:c>
      <x:c r="C33" s="161" t="str">
        <x:v>VAL-301581-00032</x:v>
      </x:c>
      <x:c r="D33" s="161" t="str">
        <x:v>EVT-301581-0002</x:v>
      </x:c>
      <x:c r="E33" s="161" t="str"/>
      <x:c r="F33" s="161" t="str">
        <x:v>NV-RATIO-001</x:v>
      </x:c>
      <x:c r="G33" s="161" t="str">
        <x:v>持股比例范围校验</x:v>
      </x:c>
      <x:c r="H33" s="161" t="str">
        <x:v>NOT_APPLICABLE</x:v>
      </x:c>
      <x:c r="I33" s="161" t="str">
        <x:v>["NUM-301581-00006"]</x:v>
      </x:c>
      <x:c r="J33" s="161" t="str">
        <x:v>{"equity_ratio_normalized": null}</x:v>
      </x:c>
      <x:c r="K33" s="161" t="str"/>
      <x:c r="L33" s="161" t="str"/>
      <x:c r="M33" s="161" t="str"/>
      <x:c r="N33" s="161" t="str"/>
      <x:c r="O33" s="161" t="str"/>
      <x:c r="P33" s="161" t="str">
        <x:v>["EVD-301581-0002-03"]</x:v>
      </x:c>
      <x:c r="Q33" s="161" t="str">
        <x:v>False</x:v>
      </x:c>
      <x:c r="R33" s="167" t="str">
        <x:v>无效的自动持股比例事实已隔离；不作为披露数值参与校验</x:v>
      </x:c>
    </x:row>
    <x:row r="34" ht="30" customHeight="1">
      <x:c r="A34" s="198" t="n">
        <x:v>301581</x:v>
      </x:c>
      <x:c r="B34" s="161" t="str">
        <x:v>黄山谷捷</x:v>
      </x:c>
      <x:c r="C34" s="161" t="str">
        <x:v>VAL-301581-00033</x:v>
      </x:c>
      <x:c r="D34" s="161" t="str">
        <x:v>EVT-301581-0002</x:v>
      </x:c>
      <x:c r="E34" s="161" t="str"/>
      <x:c r="F34" s="161" t="str">
        <x:v>NV-RATIO-001</x:v>
      </x:c>
      <x:c r="G34" s="161" t="str">
        <x:v>持股比例范围校验</x:v>
      </x:c>
      <x:c r="H34" s="161" t="str">
        <x:v>NOT_APPLICABLE</x:v>
      </x:c>
      <x:c r="I34" s="161" t="str">
        <x:v>["NUM-301581-00007"]</x:v>
      </x:c>
      <x:c r="J34" s="161" t="str">
        <x:v>{"equity_ratio_normalized": null}</x:v>
      </x:c>
      <x:c r="K34" s="161" t="str"/>
      <x:c r="L34" s="161" t="str"/>
      <x:c r="M34" s="161" t="str"/>
      <x:c r="N34" s="161" t="str"/>
      <x:c r="O34" s="161" t="str"/>
      <x:c r="P34" s="161" t="str">
        <x:v>["EVD-301581-0002-03"]</x:v>
      </x:c>
      <x:c r="Q34" s="161" t="str">
        <x:v>False</x:v>
      </x:c>
      <x:c r="R34" s="167" t="str">
        <x:v>无效的自动持股比例事实已隔离；不作为披露数值参与校验</x:v>
      </x:c>
    </x:row>
    <x:row r="35" ht="30" customHeight="1">
      <x:c r="A35" s="198" t="n">
        <x:v>301581</x:v>
      </x:c>
      <x:c r="B35" s="161" t="str">
        <x:v>黄山谷捷</x:v>
      </x:c>
      <x:c r="C35" s="161" t="str">
        <x:v>VAL-301581-00034</x:v>
      </x:c>
      <x:c r="D35" s="161" t="str">
        <x:v>EVT-301581-0002</x:v>
      </x:c>
      <x:c r="E35" s="161" t="str"/>
      <x:c r="F35" s="161" t="str">
        <x:v>NV-RATIO-001</x:v>
      </x:c>
      <x:c r="G35" s="161" t="str">
        <x:v>持股比例范围校验</x:v>
      </x:c>
      <x:c r="H35" s="161" t="str">
        <x:v>NOT_APPLICABLE</x:v>
      </x:c>
      <x:c r="I35" s="161" t="str">
        <x:v>["NUM-301581-00008"]</x:v>
      </x:c>
      <x:c r="J35" s="161" t="str">
        <x:v>{"equity_ratio_normalized": null}</x:v>
      </x:c>
      <x:c r="K35" s="161" t="str"/>
      <x:c r="L35" s="161" t="str"/>
      <x:c r="M35" s="161" t="str"/>
      <x:c r="N35" s="161" t="str"/>
      <x:c r="O35" s="161" t="str"/>
      <x:c r="P35" s="161" t="str">
        <x:v>["EVD-301581-0002-03"]</x:v>
      </x:c>
      <x:c r="Q35" s="161" t="str">
        <x:v>False</x:v>
      </x:c>
      <x:c r="R35" s="167" t="str">
        <x:v>无效的自动持股比例事实已隔离；不作为披露数值参与校验</x:v>
      </x:c>
    </x:row>
    <x:row r="36" ht="30" customHeight="1">
      <x:c r="A36" s="198" t="n">
        <x:v>301581</x:v>
      </x:c>
      <x:c r="B36" s="161" t="str">
        <x:v>黄山谷捷</x:v>
      </x:c>
      <x:c r="C36" s="161" t="str">
        <x:v>VAL-301581-00035</x:v>
      </x:c>
      <x:c r="D36" s="161" t="str">
        <x:v>EVT-301581-0003</x:v>
      </x:c>
      <x:c r="E36" s="161" t="str"/>
      <x:c r="F36" s="161" t="str">
        <x:v>NV-RATIO-001</x:v>
      </x:c>
      <x:c r="G36" s="161" t="str">
        <x:v>持股比例范围校验</x:v>
      </x:c>
      <x:c r="H36" s="161" t="str">
        <x:v>PASSED</x:v>
      </x:c>
      <x:c r="I36" s="161" t="str">
        <x:v>["NUM-301581-00002"]</x:v>
      </x:c>
      <x:c r="J36" s="161" t="str">
        <x:v>{"equity_ratio_normalized": 0.78}</x:v>
      </x:c>
      <x:c r="K36" s="161" t="str"/>
      <x:c r="L36" s="161" t="str"/>
      <x:c r="M36" s="161" t="str"/>
      <x:c r="N36" s="161" t="str"/>
      <x:c r="O36" s="161" t="str"/>
      <x:c r="P36" s="161" t="str">
        <x:v>["EVD-301581-0003-01"]</x:v>
      </x:c>
      <x:c r="Q36" s="161" t="str">
        <x:v>False</x:v>
      </x:c>
      <x:c r="R36" s="167" t="str"/>
    </x:row>
    <x:row r="37" ht="30" customHeight="1">
      <x:c r="A37" s="198" t="n">
        <x:v>301581</x:v>
      </x:c>
      <x:c r="B37" s="161" t="str">
        <x:v>黄山谷捷</x:v>
      </x:c>
      <x:c r="C37" s="161" t="str">
        <x:v>VAL-301581-00036</x:v>
      </x:c>
      <x:c r="D37" s="161" t="str">
        <x:v>EVT-301581-0003</x:v>
      </x:c>
      <x:c r="E37" s="161" t="str"/>
      <x:c r="F37" s="161" t="str">
        <x:v>NV-RATIO-001</x:v>
      </x:c>
      <x:c r="G37" s="161" t="str">
        <x:v>持股比例范围校验</x:v>
      </x:c>
      <x:c r="H37" s="161" t="str">
        <x:v>PASSED</x:v>
      </x:c>
      <x:c r="I37" s="161" t="str">
        <x:v>["NUM-301581-00003"]</x:v>
      </x:c>
      <x:c r="J37" s="161" t="str">
        <x:v>{"equity_ratio_normalized": 0.11}</x:v>
      </x:c>
      <x:c r="K37" s="161" t="str"/>
      <x:c r="L37" s="161" t="str"/>
      <x:c r="M37" s="161" t="str"/>
      <x:c r="N37" s="161" t="str"/>
      <x:c r="O37" s="161" t="str"/>
      <x:c r="P37" s="161" t="str">
        <x:v>["EVD-301581-0003-01"]</x:v>
      </x:c>
      <x:c r="Q37" s="161" t="str">
        <x:v>False</x:v>
      </x:c>
      <x:c r="R37" s="167" t="str"/>
    </x:row>
    <x:row r="38" ht="30" customHeight="1">
      <x:c r="A38" s="198" t="n">
        <x:v>603418</x:v>
      </x:c>
      <x:c r="B38" s="161" t="str">
        <x:v>友升股份</x:v>
      </x:c>
      <x:c r="C38" s="161" t="str">
        <x:v>VAL-603418-00037</x:v>
      </x:c>
      <x:c r="D38" s="161" t="str">
        <x:v>EVT-603418-0001</x:v>
      </x:c>
      <x:c r="E38" s="161" t="str"/>
      <x:c r="F38" s="161" t="str">
        <x:v>NV-RATIO-001</x:v>
      </x:c>
      <x:c r="G38" s="161" t="str">
        <x:v>持股比例范围校验</x:v>
      </x:c>
      <x:c r="H38" s="161" t="str">
        <x:v>NOT_APPLICABLE</x:v>
      </x:c>
      <x:c r="I38" s="161" t="str">
        <x:v>["NUM-603418-00001"]</x:v>
      </x:c>
      <x:c r="J38" s="161" t="str">
        <x:v>{"equity_ratio_normalized": null}</x:v>
      </x:c>
      <x:c r="K38" s="161" t="str"/>
      <x:c r="L38" s="161" t="str"/>
      <x:c r="M38" s="161" t="str"/>
      <x:c r="N38" s="161" t="str"/>
      <x:c r="O38" s="161" t="str"/>
      <x:c r="P38" s="161" t="str">
        <x:v>["EVD-603418-0001-01"]</x:v>
      </x:c>
      <x:c r="Q38" s="161" t="str">
        <x:v>False</x:v>
      </x:c>
      <x:c r="R38" s="167" t="str">
        <x:v>无效的自动持股比例事实已隔离；不作为披露数值参与校验</x:v>
      </x:c>
    </x:row>
    <x:row r="39" ht="30" customHeight="1">
      <x:c r="A39" s="198" t="n">
        <x:v>603418</x:v>
      </x:c>
      <x:c r="B39" s="161" t="str">
        <x:v>友升股份</x:v>
      </x:c>
      <x:c r="C39" s="161" t="str">
        <x:v>VAL-603418-00038</x:v>
      </x:c>
      <x:c r="D39" s="161" t="str">
        <x:v>EVT-603418-0001</x:v>
      </x:c>
      <x:c r="E39" s="161" t="str"/>
      <x:c r="F39" s="161" t="str">
        <x:v>NV-RATIO-001</x:v>
      </x:c>
      <x:c r="G39" s="161" t="str">
        <x:v>持股比例范围校验</x:v>
      </x:c>
      <x:c r="H39" s="161" t="str">
        <x:v>NOT_APPLICABLE</x:v>
      </x:c>
      <x:c r="I39" s="161" t="str">
        <x:v>["NUM-603418-00002"]</x:v>
      </x:c>
      <x:c r="J39" s="161" t="str">
        <x:v>{"equity_ratio_normalized": null}</x:v>
      </x:c>
      <x:c r="K39" s="161" t="str"/>
      <x:c r="L39" s="161" t="str"/>
      <x:c r="M39" s="161" t="str"/>
      <x:c r="N39" s="161" t="str"/>
      <x:c r="O39" s="161" t="str"/>
      <x:c r="P39" s="161" t="str">
        <x:v>["EVD-603418-0001-01"]</x:v>
      </x:c>
      <x:c r="Q39" s="161" t="str">
        <x:v>False</x:v>
      </x:c>
      <x:c r="R39" s="167" t="str">
        <x:v>无效的自动持股比例事实已隔离；不作为披露数值参与校验</x:v>
      </x:c>
    </x:row>
    <x:row r="40" ht="30" customHeight="1">
      <x:c r="A40" s="198" t="n">
        <x:v>603418</x:v>
      </x:c>
      <x:c r="B40" s="161" t="str">
        <x:v>友升股份</x:v>
      </x:c>
      <x:c r="C40" s="161" t="str">
        <x:v>VAL-603418-00039</x:v>
      </x:c>
      <x:c r="D40" s="161" t="str">
        <x:v>EVT-603418-0001</x:v>
      </x:c>
      <x:c r="E40" s="161" t="str"/>
      <x:c r="F40" s="161" t="str">
        <x:v>NV-RATIO-001</x:v>
      </x:c>
      <x:c r="G40" s="161" t="str">
        <x:v>持股比例范围校验</x:v>
      </x:c>
      <x:c r="H40" s="161" t="str">
        <x:v>NOT_APPLICABLE</x:v>
      </x:c>
      <x:c r="I40" s="161" t="str">
        <x:v>["NUM-603418-00003"]</x:v>
      </x:c>
      <x:c r="J40" s="161" t="str">
        <x:v>{"equity_ratio_normalized": null}</x:v>
      </x:c>
      <x:c r="K40" s="161" t="str"/>
      <x:c r="L40" s="161" t="str"/>
      <x:c r="M40" s="161" t="str"/>
      <x:c r="N40" s="161" t="str"/>
      <x:c r="O40" s="161" t="str"/>
      <x:c r="P40" s="161" t="str">
        <x:v>["EVD-603418-0001-01"]</x:v>
      </x:c>
      <x:c r="Q40" s="161" t="str">
        <x:v>False</x:v>
      </x:c>
      <x:c r="R40" s="167" t="str">
        <x:v>无效的自动持股比例事实已隔离；不作为披露数值参与校验</x:v>
      </x:c>
    </x:row>
    <x:row r="41" ht="30" customHeight="1">
      <x:c r="A41" s="198" t="n">
        <x:v>603418</x:v>
      </x:c>
      <x:c r="B41" s="161" t="str">
        <x:v>友升股份</x:v>
      </x:c>
      <x:c r="C41" s="161" t="str">
        <x:v>VAL-603418-00040</x:v>
      </x:c>
      <x:c r="D41" s="161" t="str">
        <x:v>EVT-603418-0002</x:v>
      </x:c>
      <x:c r="E41" s="161" t="str"/>
      <x:c r="F41" s="161" t="str">
        <x:v>NV-RATIO-001</x:v>
      </x:c>
      <x:c r="G41" s="161" t="str">
        <x:v>持股比例范围校验</x:v>
      </x:c>
      <x:c r="H41" s="161" t="str">
        <x:v>NOT_APPLICABLE</x:v>
      </x:c>
      <x:c r="I41" s="161" t="str">
        <x:v>["NUM-603418-00001"]</x:v>
      </x:c>
      <x:c r="J41" s="161" t="str">
        <x:v>{"equity_ratio_normalized": null}</x:v>
      </x:c>
      <x:c r="K41" s="161" t="str"/>
      <x:c r="L41" s="161" t="str"/>
      <x:c r="M41" s="161" t="str"/>
      <x:c r="N41" s="161" t="str"/>
      <x:c r="O41" s="161" t="str"/>
      <x:c r="P41" s="161" t="str">
        <x:v>["EVD-603418-0003-01"]</x:v>
      </x:c>
      <x:c r="Q41" s="161" t="str">
        <x:v>False</x:v>
      </x:c>
      <x:c r="R41" s="167" t="str">
        <x:v>无效的自动持股比例事实已隔离；不作为披露数值参与校验</x:v>
      </x:c>
    </x:row>
    <x:row r="42" ht="30" customHeight="1">
      <x:c r="A42" s="198" t="n">
        <x:v>603418</x:v>
      </x:c>
      <x:c r="B42" s="161" t="str">
        <x:v>友升股份</x:v>
      </x:c>
      <x:c r="C42" s="161" t="str">
        <x:v>VAL-603418-00041</x:v>
      </x:c>
      <x:c r="D42" s="161" t="str">
        <x:v>EVT-603418-0002</x:v>
      </x:c>
      <x:c r="E42" s="161" t="str"/>
      <x:c r="F42" s="161" t="str">
        <x:v>NV-RATIO-001</x:v>
      </x:c>
      <x:c r="G42" s="161" t="str">
        <x:v>持股比例范围校验</x:v>
      </x:c>
      <x:c r="H42" s="161" t="str">
        <x:v>NOT_APPLICABLE</x:v>
      </x:c>
      <x:c r="I42" s="161" t="str">
        <x:v>["NUM-603418-00002"]</x:v>
      </x:c>
      <x:c r="J42" s="161" t="str">
        <x:v>{"equity_ratio_normalized": null}</x:v>
      </x:c>
      <x:c r="K42" s="161" t="str"/>
      <x:c r="L42" s="161" t="str"/>
      <x:c r="M42" s="161" t="str"/>
      <x:c r="N42" s="161" t="str"/>
      <x:c r="O42" s="161" t="str"/>
      <x:c r="P42" s="161" t="str">
        <x:v>["EVD-603418-0003-01"]</x:v>
      </x:c>
      <x:c r="Q42" s="161" t="str">
        <x:v>False</x:v>
      </x:c>
      <x:c r="R42" s="167" t="str">
        <x:v>无效的自动持股比例事实已隔离；不作为披露数值参与校验</x:v>
      </x:c>
    </x:row>
    <x:row r="43" ht="30" customHeight="1">
      <x:c r="A43" s="198" t="n">
        <x:v>603418</x:v>
      </x:c>
      <x:c r="B43" s="161" t="str">
        <x:v>友升股份</x:v>
      </x:c>
      <x:c r="C43" s="161" t="str">
        <x:v>VAL-603418-00042</x:v>
      </x:c>
      <x:c r="D43" s="161" t="str">
        <x:v>EVT-603418-0002</x:v>
      </x:c>
      <x:c r="E43" s="161" t="str"/>
      <x:c r="F43" s="161" t="str">
        <x:v>NV-RATIO-001</x:v>
      </x:c>
      <x:c r="G43" s="161" t="str">
        <x:v>持股比例范围校验</x:v>
      </x:c>
      <x:c r="H43" s="161" t="str">
        <x:v>NOT_APPLICABLE</x:v>
      </x:c>
      <x:c r="I43" s="161" t="str">
        <x:v>["NUM-603418-00003"]</x:v>
      </x:c>
      <x:c r="J43" s="161" t="str">
        <x:v>{"equity_ratio_normalized": null}</x:v>
      </x:c>
      <x:c r="K43" s="161" t="str"/>
      <x:c r="L43" s="161" t="str"/>
      <x:c r="M43" s="161" t="str"/>
      <x:c r="N43" s="161" t="str"/>
      <x:c r="O43" s="161" t="str"/>
      <x:c r="P43" s="161" t="str">
        <x:v>["EVD-603418-0003-01"]</x:v>
      </x:c>
      <x:c r="Q43" s="161" t="str">
        <x:v>False</x:v>
      </x:c>
      <x:c r="R43" s="167" t="str">
        <x:v>无效的自动持股比例事实已隔离；不作为披露数值参与校验</x:v>
      </x:c>
    </x:row>
    <x:row r="44" ht="30" customHeight="1">
      <x:c r="A44" s="198" t="n">
        <x:v>603418</x:v>
      </x:c>
      <x:c r="B44" s="161" t="str">
        <x:v>友升股份</x:v>
      </x:c>
      <x:c r="C44" s="161" t="str">
        <x:v>VAL-603418-00043</x:v>
      </x:c>
      <x:c r="D44" s="161" t="str">
        <x:v>EVT-603418-0002</x:v>
      </x:c>
      <x:c r="E44" s="161" t="str"/>
      <x:c r="F44" s="161" t="str">
        <x:v>NV-RATIO-001</x:v>
      </x:c>
      <x:c r="G44" s="161" t="str">
        <x:v>持股比例范围校验</x:v>
      </x:c>
      <x:c r="H44" s="161" t="str">
        <x:v>NOT_APPLICABLE</x:v>
      </x:c>
      <x:c r="I44" s="161" t="str">
        <x:v>["NUM-603418-00004"]</x:v>
      </x:c>
      <x:c r="J44" s="161" t="str">
        <x:v>{"equity_ratio_normalized": null}</x:v>
      </x:c>
      <x:c r="K44" s="161" t="str"/>
      <x:c r="L44" s="161" t="str"/>
      <x:c r="M44" s="161" t="str"/>
      <x:c r="N44" s="161" t="str"/>
      <x:c r="O44" s="161" t="str"/>
      <x:c r="P44" s="161" t="str">
        <x:v>["EVD-603418-0003-01"]</x:v>
      </x:c>
      <x:c r="Q44" s="161" t="str">
        <x:v>False</x:v>
      </x:c>
      <x:c r="R44" s="167" t="str">
        <x:v>无效的自动持股比例事实已隔离；不作为披露数值参与校验</x:v>
      </x:c>
    </x:row>
    <x:row r="45" ht="30" customHeight="1">
      <x:c r="A45" s="198" t="n">
        <x:v>603418</x:v>
      </x:c>
      <x:c r="B45" s="161" t="str">
        <x:v>友升股份</x:v>
      </x:c>
      <x:c r="C45" s="161" t="str">
        <x:v>VAL-603418-00044</x:v>
      </x:c>
      <x:c r="D45" s="161" t="str">
        <x:v>EVT-603418-0002</x:v>
      </x:c>
      <x:c r="E45" s="161" t="str"/>
      <x:c r="F45" s="161" t="str">
        <x:v>NV-RATIO-001</x:v>
      </x:c>
      <x:c r="G45" s="161" t="str">
        <x:v>持股比例范围校验</x:v>
      </x:c>
      <x:c r="H45" s="161" t="str">
        <x:v>NOT_APPLICABLE</x:v>
      </x:c>
      <x:c r="I45" s="161" t="str">
        <x:v>["NUM-603418-00005"]</x:v>
      </x:c>
      <x:c r="J45" s="161" t="str">
        <x:v>{"equity_ratio_normalized": null}</x:v>
      </x:c>
      <x:c r="K45" s="161" t="str"/>
      <x:c r="L45" s="161" t="str"/>
      <x:c r="M45" s="161" t="str"/>
      <x:c r="N45" s="161" t="str"/>
      <x:c r="O45" s="161" t="str"/>
      <x:c r="P45" s="161" t="str">
        <x:v>["EVD-603418-0003-01"]</x:v>
      </x:c>
      <x:c r="Q45" s="161" t="str">
        <x:v>False</x:v>
      </x:c>
      <x:c r="R45" s="167" t="str">
        <x:v>无效的自动持股比例事实已隔离；不作为披露数值参与校验</x:v>
      </x:c>
    </x:row>
    <x:row r="46" ht="30" customHeight="1">
      <x:c r="A46" s="198" t="n">
        <x:v>603418</x:v>
      </x:c>
      <x:c r="B46" s="161" t="str">
        <x:v>友升股份</x:v>
      </x:c>
      <x:c r="C46" s="161" t="str">
        <x:v>VAL-603418-00045</x:v>
      </x:c>
      <x:c r="D46" s="161" t="str">
        <x:v>EVT-603418-0003</x:v>
      </x:c>
      <x:c r="E46" s="161" t="str"/>
      <x:c r="F46" s="161" t="str">
        <x:v>NV-RATIO-001</x:v>
      </x:c>
      <x:c r="G46" s="161" t="str">
        <x:v>持股比例范围校验</x:v>
      </x:c>
      <x:c r="H46" s="161" t="str">
        <x:v>NOT_APPLICABLE</x:v>
      </x:c>
      <x:c r="I46" s="161" t="str">
        <x:v>["NUM-603418-00003"]</x:v>
      </x:c>
      <x:c r="J46" s="161" t="str">
        <x:v>{"equity_ratio_normalized": null}</x:v>
      </x:c>
      <x:c r="K46" s="161" t="str"/>
      <x:c r="L46" s="161" t="str"/>
      <x:c r="M46" s="161" t="str"/>
      <x:c r="N46" s="161" t="str"/>
      <x:c r="O46" s="161" t="str"/>
      <x:c r="P46" s="161" t="str">
        <x:v>["EVD-603418-0004-01"]</x:v>
      </x:c>
      <x:c r="Q46" s="161" t="str">
        <x:v>False</x:v>
      </x:c>
      <x:c r="R46" s="167" t="str">
        <x:v>无效的自动持股比例事实已隔离；不作为披露数值参与校验</x:v>
      </x:c>
    </x:row>
    <x:row r="47" ht="30" customHeight="1">
      <x:c r="A47" s="198" t="n">
        <x:v>603418</x:v>
      </x:c>
      <x:c r="B47" s="161" t="str">
        <x:v>友升股份</x:v>
      </x:c>
      <x:c r="C47" s="161" t="str">
        <x:v>VAL-603418-00046</x:v>
      </x:c>
      <x:c r="D47" s="161" t="str">
        <x:v>EVT-603418-0003</x:v>
      </x:c>
      <x:c r="E47" s="161" t="str"/>
      <x:c r="F47" s="161" t="str">
        <x:v>NV-RATIO-001</x:v>
      </x:c>
      <x:c r="G47" s="161" t="str">
        <x:v>持股比例范围校验</x:v>
      </x:c>
      <x:c r="H47" s="161" t="str">
        <x:v>NOT_APPLICABLE</x:v>
      </x:c>
      <x:c r="I47" s="161" t="str">
        <x:v>["NUM-603418-00004"]</x:v>
      </x:c>
      <x:c r="J47" s="161" t="str">
        <x:v>{"equity_ratio_normalized": null}</x:v>
      </x:c>
      <x:c r="K47" s="161" t="str"/>
      <x:c r="L47" s="161" t="str"/>
      <x:c r="M47" s="161" t="str"/>
      <x:c r="N47" s="161" t="str"/>
      <x:c r="O47" s="161" t="str"/>
      <x:c r="P47" s="161" t="str">
        <x:v>["EVD-603418-0004-01"]</x:v>
      </x:c>
      <x:c r="Q47" s="161" t="str">
        <x:v>False</x:v>
      </x:c>
      <x:c r="R47" s="167" t="str">
        <x:v>无效的自动持股比例事实已隔离；不作为披露数值参与校验</x:v>
      </x:c>
    </x:row>
    <x:row r="48" ht="30" customHeight="1">
      <x:c r="A48" s="198" t="n">
        <x:v>603418</x:v>
      </x:c>
      <x:c r="B48" s="161" t="str">
        <x:v>友升股份</x:v>
      </x:c>
      <x:c r="C48" s="161" t="str">
        <x:v>VAL-603418-00047</x:v>
      </x:c>
      <x:c r="D48" s="161" t="str">
        <x:v>EVT-603418-0003</x:v>
      </x:c>
      <x:c r="E48" s="161" t="str"/>
      <x:c r="F48" s="161" t="str">
        <x:v>NV-RATIO-001</x:v>
      </x:c>
      <x:c r="G48" s="161" t="str">
        <x:v>持股比例范围校验</x:v>
      </x:c>
      <x:c r="H48" s="161" t="str">
        <x:v>NOT_APPLICABLE</x:v>
      </x:c>
      <x:c r="I48" s="161" t="str">
        <x:v>["NUM-603418-00005"]</x:v>
      </x:c>
      <x:c r="J48" s="161" t="str">
        <x:v>{"equity_ratio_normalized": null}</x:v>
      </x:c>
      <x:c r="K48" s="161" t="str"/>
      <x:c r="L48" s="161" t="str"/>
      <x:c r="M48" s="161" t="str"/>
      <x:c r="N48" s="161" t="str"/>
      <x:c r="O48" s="161" t="str"/>
      <x:c r="P48" s="161" t="str">
        <x:v>["EVD-603418-0004-01"]</x:v>
      </x:c>
      <x:c r="Q48" s="161" t="str">
        <x:v>False</x:v>
      </x:c>
      <x:c r="R48" s="167" t="str">
        <x:v>无效的自动持股比例事实已隔离；不作为披露数值参与校验</x:v>
      </x:c>
    </x:row>
    <x:row r="49" ht="30" customHeight="1">
      <x:c r="A49" s="198" t="n">
        <x:v>603418</x:v>
      </x:c>
      <x:c r="B49" s="161" t="str">
        <x:v>友升股份</x:v>
      </x:c>
      <x:c r="C49" s="161" t="str">
        <x:v>VAL-603418-00048</x:v>
      </x:c>
      <x:c r="D49" s="161" t="str">
        <x:v>EVT-603418-0003</x:v>
      </x:c>
      <x:c r="E49" s="161" t="str"/>
      <x:c r="F49" s="161" t="str">
        <x:v>NV-RATIO-001</x:v>
      </x:c>
      <x:c r="G49" s="161" t="str">
        <x:v>持股比例范围校验</x:v>
      </x:c>
      <x:c r="H49" s="161" t="str">
        <x:v>NOT_APPLICABLE</x:v>
      </x:c>
      <x:c r="I49" s="161" t="str">
        <x:v>["NUM-603418-00006"]</x:v>
      </x:c>
      <x:c r="J49" s="161" t="str">
        <x:v>{"equity_ratio_normalized": null}</x:v>
      </x:c>
      <x:c r="K49" s="161" t="str"/>
      <x:c r="L49" s="161" t="str"/>
      <x:c r="M49" s="161" t="str"/>
      <x:c r="N49" s="161" t="str"/>
      <x:c r="O49" s="161" t="str"/>
      <x:c r="P49" s="161" t="str">
        <x:v>["EVD-603418-0004-01"]</x:v>
      </x:c>
      <x:c r="Q49" s="161" t="str">
        <x:v>False</x:v>
      </x:c>
      <x:c r="R49" s="167" t="str">
        <x:v>无效的自动持股比例事实已隔离；不作为披露数值参与校验</x:v>
      </x:c>
    </x:row>
    <x:row r="50" ht="30" customHeight="1">
      <x:c r="A50" s="198" t="n">
        <x:v>603418</x:v>
      </x:c>
      <x:c r="B50" s="161" t="str">
        <x:v>友升股份</x:v>
      </x:c>
      <x:c r="C50" s="161" t="str">
        <x:v>VAL-603418-00049</x:v>
      </x:c>
      <x:c r="D50" s="161" t="str">
        <x:v>EVT-603418-0003</x:v>
      </x:c>
      <x:c r="E50" s="161" t="str"/>
      <x:c r="F50" s="161" t="str">
        <x:v>NV-RATIO-001</x:v>
      </x:c>
      <x:c r="G50" s="161" t="str">
        <x:v>持股比例范围校验</x:v>
      </x:c>
      <x:c r="H50" s="161" t="str">
        <x:v>NOT_APPLICABLE</x:v>
      </x:c>
      <x:c r="I50" s="161" t="str">
        <x:v>["NUM-603418-00007"]</x:v>
      </x:c>
      <x:c r="J50" s="161" t="str">
        <x:v>{"equity_ratio_normalized": null}</x:v>
      </x:c>
      <x:c r="K50" s="161" t="str"/>
      <x:c r="L50" s="161" t="str"/>
      <x:c r="M50" s="161" t="str"/>
      <x:c r="N50" s="161" t="str"/>
      <x:c r="O50" s="161" t="str"/>
      <x:c r="P50" s="161" t="str">
        <x:v>["EVD-603418-0004-01"]</x:v>
      </x:c>
      <x:c r="Q50" s="161" t="str">
        <x:v>False</x:v>
      </x:c>
      <x:c r="R50" s="167" t="str">
        <x:v>无效的自动持股比例事实已隔离；不作为披露数值参与校验</x:v>
      </x:c>
    </x:row>
    <x:row r="51" ht="30" customHeight="1">
      <x:c r="A51" s="198" t="n">
        <x:v>603418</x:v>
      </x:c>
      <x:c r="B51" s="161" t="str">
        <x:v>友升股份</x:v>
      </x:c>
      <x:c r="C51" s="161" t="str">
        <x:v>VAL-603418-00050</x:v>
      </x:c>
      <x:c r="D51" s="161" t="str">
        <x:v>EVT-603418-0003</x:v>
      </x:c>
      <x:c r="E51" s="161" t="str"/>
      <x:c r="F51" s="161" t="str">
        <x:v>NV-RATIO-001</x:v>
      </x:c>
      <x:c r="G51" s="161" t="str">
        <x:v>持股比例范围校验</x:v>
      </x:c>
      <x:c r="H51" s="161" t="str">
        <x:v>NOT_APPLICABLE</x:v>
      </x:c>
      <x:c r="I51" s="161" t="str">
        <x:v>["NUM-603418-00008"]</x:v>
      </x:c>
      <x:c r="J51" s="161" t="str">
        <x:v>{"equity_ratio_normalized": null}</x:v>
      </x:c>
      <x:c r="K51" s="161" t="str"/>
      <x:c r="L51" s="161" t="str"/>
      <x:c r="M51" s="161" t="str"/>
      <x:c r="N51" s="161" t="str"/>
      <x:c r="O51" s="161" t="str"/>
      <x:c r="P51" s="161" t="str">
        <x:v>["EVD-603418-0004-01"]</x:v>
      </x:c>
      <x:c r="Q51" s="161" t="str">
        <x:v>False</x:v>
      </x:c>
      <x:c r="R51" s="167" t="str">
        <x:v>无效的自动持股比例事实已隔离；不作为披露数值参与校验</x:v>
      </x:c>
    </x:row>
    <x:row r="52" ht="30" customHeight="1">
      <x:c r="A52" s="198" t="n">
        <x:v>603418</x:v>
      </x:c>
      <x:c r="B52" s="161" t="str">
        <x:v>友升股份</x:v>
      </x:c>
      <x:c r="C52" s="161" t="str">
        <x:v>VAL-603418-00051</x:v>
      </x:c>
      <x:c r="D52" s="161" t="str">
        <x:v>EVT-603418-0003</x:v>
      </x:c>
      <x:c r="E52" s="161" t="str"/>
      <x:c r="F52" s="161" t="str">
        <x:v>NV-RATIO-001</x:v>
      </x:c>
      <x:c r="G52" s="161" t="str">
        <x:v>持股比例范围校验</x:v>
      </x:c>
      <x:c r="H52" s="161" t="str">
        <x:v>NOT_APPLICABLE</x:v>
      </x:c>
      <x:c r="I52" s="161" t="str">
        <x:v>["NUM-603418-00009"]</x:v>
      </x:c>
      <x:c r="J52" s="161" t="str">
        <x:v>{"equity_ratio_normalized": null}</x:v>
      </x:c>
      <x:c r="K52" s="161" t="str"/>
      <x:c r="L52" s="161" t="str"/>
      <x:c r="M52" s="161" t="str"/>
      <x:c r="N52" s="161" t="str"/>
      <x:c r="O52" s="161" t="str"/>
      <x:c r="P52" s="161" t="str">
        <x:v>["EVD-603418-0004-01"]</x:v>
      </x:c>
      <x:c r="Q52" s="161" t="str">
        <x:v>False</x:v>
      </x:c>
      <x:c r="R52" s="167" t="str">
        <x:v>无效的自动持股比例事实已隔离；不作为披露数值参与校验</x:v>
      </x:c>
    </x:row>
    <x:row r="53" ht="30" customHeight="1">
      <x:c r="A53" s="198" t="n">
        <x:v>603418</x:v>
      </x:c>
      <x:c r="B53" s="161" t="str">
        <x:v>友升股份</x:v>
      </x:c>
      <x:c r="C53" s="161" t="str">
        <x:v>VAL-603418-00052</x:v>
      </x:c>
      <x:c r="D53" s="161" t="str">
        <x:v>EVT-603418-0003</x:v>
      </x:c>
      <x:c r="E53" s="161" t="str"/>
      <x:c r="F53" s="161" t="str">
        <x:v>NV-RATIO-001</x:v>
      </x:c>
      <x:c r="G53" s="161" t="str">
        <x:v>持股比例范围校验</x:v>
      </x:c>
      <x:c r="H53" s="161" t="str">
        <x:v>NOT_APPLICABLE</x:v>
      </x:c>
      <x:c r="I53" s="161" t="str">
        <x:v>["NUM-603418-00010"]</x:v>
      </x:c>
      <x:c r="J53" s="161" t="str">
        <x:v>{"equity_ratio_normalized": null}</x:v>
      </x:c>
      <x:c r="K53" s="161" t="str"/>
      <x:c r="L53" s="161" t="str"/>
      <x:c r="M53" s="161" t="str"/>
      <x:c r="N53" s="161" t="str"/>
      <x:c r="O53" s="161" t="str"/>
      <x:c r="P53" s="161" t="str">
        <x:v>["EVD-603418-0004-01"]</x:v>
      </x:c>
      <x:c r="Q53" s="161" t="str">
        <x:v>False</x:v>
      </x:c>
      <x:c r="R53" s="167" t="str">
        <x:v>无效的自动持股比例事实已隔离；不作为披露数值参与校验</x:v>
      </x:c>
    </x:row>
    <x:row r="54" ht="30" customHeight="1">
      <x:c r="A54" s="198" t="n">
        <x:v>603418</x:v>
      </x:c>
      <x:c r="B54" s="161" t="str">
        <x:v>友升股份</x:v>
      </x:c>
      <x:c r="C54" s="161" t="str">
        <x:v>VAL-603418-00053</x:v>
      </x:c>
      <x:c r="D54" s="161" t="str">
        <x:v>EVT-603418-0004</x:v>
      </x:c>
      <x:c r="E54" s="161" t="str"/>
      <x:c r="F54" s="161" t="str">
        <x:v>NV-RATIO-001</x:v>
      </x:c>
      <x:c r="G54" s="161" t="str">
        <x:v>持股比例范围校验</x:v>
      </x:c>
      <x:c r="H54" s="161" t="str">
        <x:v>NOT_APPLICABLE</x:v>
      </x:c>
      <x:c r="I54" s="161" t="str">
        <x:v>["NUM-603418-00001"]</x:v>
      </x:c>
      <x:c r="J54" s="161" t="str">
        <x:v>{"equity_ratio_normalized": null}</x:v>
      </x:c>
      <x:c r="K54" s="161" t="str"/>
      <x:c r="L54" s="161" t="str"/>
      <x:c r="M54" s="161" t="str"/>
      <x:c r="N54" s="161" t="str"/>
      <x:c r="O54" s="161" t="str"/>
      <x:c r="P54" s="161" t="str">
        <x:v>["EVD-603418-0005-01"]</x:v>
      </x:c>
      <x:c r="Q54" s="161" t="str">
        <x:v>False</x:v>
      </x:c>
      <x:c r="R54" s="167" t="str">
        <x:v>无效的自动持股比例事实已隔离；不作为披露数值参与校验</x:v>
      </x:c>
    </x:row>
    <x:row r="55" ht="30" customHeight="1">
      <x:c r="A55" s="198" t="n">
        <x:v>603418</x:v>
      </x:c>
      <x:c r="B55" s="161" t="str">
        <x:v>友升股份</x:v>
      </x:c>
      <x:c r="C55" s="161" t="str">
        <x:v>VAL-603418-00054</x:v>
      </x:c>
      <x:c r="D55" s="161" t="str">
        <x:v>EVT-603418-0004</x:v>
      </x:c>
      <x:c r="E55" s="161" t="str"/>
      <x:c r="F55" s="161" t="str">
        <x:v>NV-RATIO-001</x:v>
      </x:c>
      <x:c r="G55" s="161" t="str">
        <x:v>持股比例范围校验</x:v>
      </x:c>
      <x:c r="H55" s="161" t="str">
        <x:v>NOT_APPLICABLE</x:v>
      </x:c>
      <x:c r="I55" s="161" t="str">
        <x:v>["NUM-603418-00002"]</x:v>
      </x:c>
      <x:c r="J55" s="161" t="str">
        <x:v>{"equity_ratio_normalized": null}</x:v>
      </x:c>
      <x:c r="K55" s="161" t="str"/>
      <x:c r="L55" s="161" t="str"/>
      <x:c r="M55" s="161" t="str"/>
      <x:c r="N55" s="161" t="str"/>
      <x:c r="O55" s="161" t="str"/>
      <x:c r="P55" s="161" t="str">
        <x:v>["EVD-603418-0005-01"]</x:v>
      </x:c>
      <x:c r="Q55" s="161" t="str">
        <x:v>False</x:v>
      </x:c>
      <x:c r="R55" s="167" t="str">
        <x:v>无效的自动持股比例事实已隔离；不作为披露数值参与校验</x:v>
      </x:c>
    </x:row>
    <x:row r="56" ht="30" customHeight="1">
      <x:c r="A56" s="198" t="n">
        <x:v>603418</x:v>
      </x:c>
      <x:c r="B56" s="161" t="str">
        <x:v>友升股份</x:v>
      </x:c>
      <x:c r="C56" s="161" t="str">
        <x:v>VAL-603418-00055</x:v>
      </x:c>
      <x:c r="D56" s="161" t="str">
        <x:v>EVT-603418-0004</x:v>
      </x:c>
      <x:c r="E56" s="161" t="str"/>
      <x:c r="F56" s="161" t="str">
        <x:v>NV-RATIO-001</x:v>
      </x:c>
      <x:c r="G56" s="161" t="str">
        <x:v>持股比例范围校验</x:v>
      </x:c>
      <x:c r="H56" s="161" t="str">
        <x:v>NOT_APPLICABLE</x:v>
      </x:c>
      <x:c r="I56" s="161" t="str">
        <x:v>["NUM-603418-00003"]</x:v>
      </x:c>
      <x:c r="J56" s="161" t="str">
        <x:v>{"equity_ratio_normalized": null}</x:v>
      </x:c>
      <x:c r="K56" s="161" t="str"/>
      <x:c r="L56" s="161" t="str"/>
      <x:c r="M56" s="161" t="str"/>
      <x:c r="N56" s="161" t="str"/>
      <x:c r="O56" s="161" t="str"/>
      <x:c r="P56" s="161" t="str">
        <x:v>["EVD-603418-0005-01"]</x:v>
      </x:c>
      <x:c r="Q56" s="161" t="str">
        <x:v>False</x:v>
      </x:c>
      <x:c r="R56" s="167" t="str">
        <x:v>无效的自动持股比例事实已隔离；不作为披露数值参与校验</x:v>
      </x:c>
    </x:row>
    <x:row r="57" ht="30" customHeight="1">
      <x:c r="A57" s="198" t="n">
        <x:v>603418</x:v>
      </x:c>
      <x:c r="B57" s="161" t="str">
        <x:v>友升股份</x:v>
      </x:c>
      <x:c r="C57" s="161" t="str">
        <x:v>VAL-603418-00056</x:v>
      </x:c>
      <x:c r="D57" s="161" t="str">
        <x:v>EVT-603418-0004</x:v>
      </x:c>
      <x:c r="E57" s="161" t="str"/>
      <x:c r="F57" s="161" t="str">
        <x:v>NV-RATIO-001</x:v>
      </x:c>
      <x:c r="G57" s="161" t="str">
        <x:v>持股比例范围校验</x:v>
      </x:c>
      <x:c r="H57" s="161" t="str">
        <x:v>NOT_APPLICABLE</x:v>
      </x:c>
      <x:c r="I57" s="161" t="str">
        <x:v>["NUM-603418-00004"]</x:v>
      </x:c>
      <x:c r="J57" s="161" t="str">
        <x:v>{"equity_ratio_normalized": null}</x:v>
      </x:c>
      <x:c r="K57" s="161" t="str"/>
      <x:c r="L57" s="161" t="str"/>
      <x:c r="M57" s="161" t="str"/>
      <x:c r="N57" s="161" t="str"/>
      <x:c r="O57" s="161" t="str"/>
      <x:c r="P57" s="161" t="str">
        <x:v>["EVD-603418-0005-01"]</x:v>
      </x:c>
      <x:c r="Q57" s="161" t="str">
        <x:v>False</x:v>
      </x:c>
      <x:c r="R57" s="167" t="str">
        <x:v>无效的自动持股比例事实已隔离；不作为披露数值参与校验</x:v>
      </x:c>
    </x:row>
    <x:row r="58" ht="30" customHeight="1">
      <x:c r="A58" s="198" t="n">
        <x:v>603418</x:v>
      </x:c>
      <x:c r="B58" s="161" t="str">
        <x:v>友升股份</x:v>
      </x:c>
      <x:c r="C58" s="161" t="str">
        <x:v>VAL-603418-00057</x:v>
      </x:c>
      <x:c r="D58" s="161" t="str">
        <x:v>EVT-603418-0004</x:v>
      </x:c>
      <x:c r="E58" s="161" t="str"/>
      <x:c r="F58" s="161" t="str">
        <x:v>NV-RATIO-001</x:v>
      </x:c>
      <x:c r="G58" s="161" t="str">
        <x:v>持股比例范围校验</x:v>
      </x:c>
      <x:c r="H58" s="161" t="str">
        <x:v>NOT_APPLICABLE</x:v>
      </x:c>
      <x:c r="I58" s="161" t="str">
        <x:v>["NUM-603418-00005"]</x:v>
      </x:c>
      <x:c r="J58" s="161" t="str">
        <x:v>{"equity_ratio_normalized": null}</x:v>
      </x:c>
      <x:c r="K58" s="161" t="str"/>
      <x:c r="L58" s="161" t="str"/>
      <x:c r="M58" s="161" t="str"/>
      <x:c r="N58" s="161" t="str"/>
      <x:c r="O58" s="161" t="str"/>
      <x:c r="P58" s="161" t="str">
        <x:v>["EVD-603418-0005-01"]</x:v>
      </x:c>
      <x:c r="Q58" s="161" t="str">
        <x:v>False</x:v>
      </x:c>
      <x:c r="R58" s="167" t="str">
        <x:v>无效的自动持股比例事实已隔离；不作为披露数值参与校验</x:v>
      </x:c>
    </x:row>
    <x:row r="59" ht="30" customHeight="1">
      <x:c r="A59" s="198" t="n">
        <x:v>603418</x:v>
      </x:c>
      <x:c r="B59" s="161" t="str">
        <x:v>友升股份</x:v>
      </x:c>
      <x:c r="C59" s="161" t="str">
        <x:v>VAL-603418-00058</x:v>
      </x:c>
      <x:c r="D59" s="161" t="str">
        <x:v>EVT-603418-0004</x:v>
      </x:c>
      <x:c r="E59" s="161" t="str"/>
      <x:c r="F59" s="161" t="str">
        <x:v>NV-RATIO-001</x:v>
      </x:c>
      <x:c r="G59" s="161" t="str">
        <x:v>持股比例范围校验</x:v>
      </x:c>
      <x:c r="H59" s="161" t="str">
        <x:v>NOT_APPLICABLE</x:v>
      </x:c>
      <x:c r="I59" s="161" t="str">
        <x:v>["NUM-603418-00006"]</x:v>
      </x:c>
      <x:c r="J59" s="161" t="str">
        <x:v>{"equity_ratio_normalized": null}</x:v>
      </x:c>
      <x:c r="K59" s="161" t="str"/>
      <x:c r="L59" s="161" t="str"/>
      <x:c r="M59" s="161" t="str"/>
      <x:c r="N59" s="161" t="str"/>
      <x:c r="O59" s="161" t="str"/>
      <x:c r="P59" s="161" t="str">
        <x:v>["EVD-603418-0005-01"]</x:v>
      </x:c>
      <x:c r="Q59" s="161" t="str">
        <x:v>False</x:v>
      </x:c>
      <x:c r="R59" s="167" t="str">
        <x:v>无效的自动持股比例事实已隔离；不作为披露数值参与校验</x:v>
      </x:c>
    </x:row>
    <x:row r="60" ht="30" customHeight="1">
      <x:c r="A60" s="198" t="n">
        <x:v>603418</x:v>
      </x:c>
      <x:c r="B60" s="161" t="str">
        <x:v>友升股份</x:v>
      </x:c>
      <x:c r="C60" s="161" t="str">
        <x:v>VAL-603418-00059</x:v>
      </x:c>
      <x:c r="D60" s="161" t="str">
        <x:v>EVT-603418-0004</x:v>
      </x:c>
      <x:c r="E60" s="161" t="str"/>
      <x:c r="F60" s="161" t="str">
        <x:v>NV-RATIO-001</x:v>
      </x:c>
      <x:c r="G60" s="161" t="str">
        <x:v>持股比例范围校验</x:v>
      </x:c>
      <x:c r="H60" s="161" t="str">
        <x:v>NOT_APPLICABLE</x:v>
      </x:c>
      <x:c r="I60" s="161" t="str">
        <x:v>["NUM-603418-00007"]</x:v>
      </x:c>
      <x:c r="J60" s="161" t="str">
        <x:v>{"equity_ratio_normalized": null}</x:v>
      </x:c>
      <x:c r="K60" s="161" t="str"/>
      <x:c r="L60" s="161" t="str"/>
      <x:c r="M60" s="161" t="str"/>
      <x:c r="N60" s="161" t="str"/>
      <x:c r="O60" s="161" t="str"/>
      <x:c r="P60" s="161" t="str">
        <x:v>["EVD-603418-0005-01"]</x:v>
      </x:c>
      <x:c r="Q60" s="161" t="str">
        <x:v>False</x:v>
      </x:c>
      <x:c r="R60" s="167" t="str">
        <x:v>无效的自动持股比例事实已隔离；不作为披露数值参与校验</x:v>
      </x:c>
    </x:row>
    <x:row r="61" ht="30" customHeight="1">
      <x:c r="A61" s="198" t="n">
        <x:v>603418</x:v>
      </x:c>
      <x:c r="B61" s="161" t="str">
        <x:v>友升股份</x:v>
      </x:c>
      <x:c r="C61" s="161" t="str">
        <x:v>VAL-603418-00060</x:v>
      </x:c>
      <x:c r="D61" s="161" t="str">
        <x:v>EVT-603418-0004</x:v>
      </x:c>
      <x:c r="E61" s="161" t="str"/>
      <x:c r="F61" s="161" t="str">
        <x:v>NV-RATIO-001</x:v>
      </x:c>
      <x:c r="G61" s="161" t="str">
        <x:v>持股比例范围校验</x:v>
      </x:c>
      <x:c r="H61" s="161" t="str">
        <x:v>NOT_APPLICABLE</x:v>
      </x:c>
      <x:c r="I61" s="161" t="str">
        <x:v>["NUM-603418-00008"]</x:v>
      </x:c>
      <x:c r="J61" s="161" t="str">
        <x:v>{"equity_ratio_normalized": null}</x:v>
      </x:c>
      <x:c r="K61" s="161" t="str"/>
      <x:c r="L61" s="161" t="str"/>
      <x:c r="M61" s="161" t="str"/>
      <x:c r="N61" s="161" t="str"/>
      <x:c r="O61" s="161" t="str"/>
      <x:c r="P61" s="161" t="str">
        <x:v>["EVD-603418-0005-01"]</x:v>
      </x:c>
      <x:c r="Q61" s="161" t="str">
        <x:v>False</x:v>
      </x:c>
      <x:c r="R61" s="167" t="str">
        <x:v>无效的自动持股比例事实已隔离；不作为披露数值参与校验</x:v>
      </x:c>
    </x:row>
    <x:row r="62" ht="30" customHeight="1">
      <x:c r="A62" s="198" t="n">
        <x:v>603418</x:v>
      </x:c>
      <x:c r="B62" s="161" t="str">
        <x:v>友升股份</x:v>
      </x:c>
      <x:c r="C62" s="161" t="str">
        <x:v>VAL-603418-00061</x:v>
      </x:c>
      <x:c r="D62" s="161" t="str">
        <x:v>EVT-603418-0004</x:v>
      </x:c>
      <x:c r="E62" s="161" t="str"/>
      <x:c r="F62" s="161" t="str">
        <x:v>NV-RATIO-001</x:v>
      </x:c>
      <x:c r="G62" s="161" t="str">
        <x:v>持股比例范围校验</x:v>
      </x:c>
      <x:c r="H62" s="161" t="str">
        <x:v>NOT_APPLICABLE</x:v>
      </x:c>
      <x:c r="I62" s="161" t="str">
        <x:v>["NUM-603418-00009"]</x:v>
      </x:c>
      <x:c r="J62" s="161" t="str">
        <x:v>{"equity_ratio_normalized": null}</x:v>
      </x:c>
      <x:c r="K62" s="161" t="str"/>
      <x:c r="L62" s="161" t="str"/>
      <x:c r="M62" s="161" t="str"/>
      <x:c r="N62" s="161" t="str"/>
      <x:c r="O62" s="161" t="str"/>
      <x:c r="P62" s="161" t="str">
        <x:v>["EVD-603418-0005-01"]</x:v>
      </x:c>
      <x:c r="Q62" s="161" t="str">
        <x:v>False</x:v>
      </x:c>
      <x:c r="R62" s="167" t="str">
        <x:v>无效的自动持股比例事实已隔离；不作为披露数值参与校验</x:v>
      </x:c>
    </x:row>
    <x:row r="63" ht="30" customHeight="1">
      <x:c r="A63" s="198" t="n">
        <x:v>603418</x:v>
      </x:c>
      <x:c r="B63" s="161" t="str">
        <x:v>友升股份</x:v>
      </x:c>
      <x:c r="C63" s="161" t="str">
        <x:v>VAL-603418-00062</x:v>
      </x:c>
      <x:c r="D63" s="161" t="str">
        <x:v>EVT-603418-0004</x:v>
      </x:c>
      <x:c r="E63" s="161" t="str"/>
      <x:c r="F63" s="161" t="str">
        <x:v>NV-RATIO-001</x:v>
      </x:c>
      <x:c r="G63" s="161" t="str">
        <x:v>持股比例范围校验</x:v>
      </x:c>
      <x:c r="H63" s="161" t="str">
        <x:v>NOT_APPLICABLE</x:v>
      </x:c>
      <x:c r="I63" s="161" t="str">
        <x:v>["NUM-603418-00010"]</x:v>
      </x:c>
      <x:c r="J63" s="161" t="str">
        <x:v>{"equity_ratio_normalized": null}</x:v>
      </x:c>
      <x:c r="K63" s="161" t="str"/>
      <x:c r="L63" s="161" t="str"/>
      <x:c r="M63" s="161" t="str"/>
      <x:c r="N63" s="161" t="str"/>
      <x:c r="O63" s="161" t="str"/>
      <x:c r="P63" s="161" t="str">
        <x:v>["EVD-603418-0005-01"]</x:v>
      </x:c>
      <x:c r="Q63" s="161" t="str">
        <x:v>False</x:v>
      </x:c>
      <x:c r="R63" s="167" t="str">
        <x:v>无效的自动持股比例事实已隔离；不作为披露数值参与校验</x:v>
      </x:c>
    </x:row>
    <x:row r="64" ht="30" customHeight="1">
      <x:c r="A64" s="198" t="n">
        <x:v>603418</x:v>
      </x:c>
      <x:c r="B64" s="161" t="str">
        <x:v>友升股份</x:v>
      </x:c>
      <x:c r="C64" s="161" t="str">
        <x:v>VAL-603418-00063</x:v>
      </x:c>
      <x:c r="D64" s="161" t="str">
        <x:v>EVT-603418-0004</x:v>
      </x:c>
      <x:c r="E64" s="161" t="str"/>
      <x:c r="F64" s="161" t="str">
        <x:v>NV-RATIO-001</x:v>
      </x:c>
      <x:c r="G64" s="161" t="str">
        <x:v>持股比例范围校验</x:v>
      </x:c>
      <x:c r="H64" s="161" t="str">
        <x:v>NOT_APPLICABLE</x:v>
      </x:c>
      <x:c r="I64" s="161" t="str">
        <x:v>["NUM-603418-00011"]</x:v>
      </x:c>
      <x:c r="J64" s="161" t="str">
        <x:v>{"equity_ratio_normalized": null}</x:v>
      </x:c>
      <x:c r="K64" s="161" t="str"/>
      <x:c r="L64" s="161" t="str"/>
      <x:c r="M64" s="161" t="str"/>
      <x:c r="N64" s="161" t="str"/>
      <x:c r="O64" s="161" t="str"/>
      <x:c r="P64" s="161" t="str">
        <x:v>["EVD-603418-0005-01"]</x:v>
      </x:c>
      <x:c r="Q64" s="161" t="str">
        <x:v>False</x:v>
      </x:c>
      <x:c r="R64" s="167" t="str">
        <x:v>无效的自动持股比例事实已隔离；不作为披露数值参与校验</x:v>
      </x:c>
    </x:row>
    <x:row r="65" ht="30" customHeight="1">
      <x:c r="A65" s="198" t="n">
        <x:v>603418</x:v>
      </x:c>
      <x:c r="B65" s="161" t="str">
        <x:v>友升股份</x:v>
      </x:c>
      <x:c r="C65" s="161" t="str">
        <x:v>VAL-603418-00064</x:v>
      </x:c>
      <x:c r="D65" s="161" t="str">
        <x:v>EVT-603418-0004</x:v>
      </x:c>
      <x:c r="E65" s="161" t="str"/>
      <x:c r="F65" s="161" t="str">
        <x:v>NV-RATIO-001</x:v>
      </x:c>
      <x:c r="G65" s="161" t="str">
        <x:v>持股比例范围校验</x:v>
      </x:c>
      <x:c r="H65" s="161" t="str">
        <x:v>NOT_APPLICABLE</x:v>
      </x:c>
      <x:c r="I65" s="161" t="str">
        <x:v>["NUM-603418-00012"]</x:v>
      </x:c>
      <x:c r="J65" s="161" t="str">
        <x:v>{"equity_ratio_normalized": null}</x:v>
      </x:c>
      <x:c r="K65" s="161" t="str"/>
      <x:c r="L65" s="161" t="str"/>
      <x:c r="M65" s="161" t="str"/>
      <x:c r="N65" s="161" t="str"/>
      <x:c r="O65" s="161" t="str"/>
      <x:c r="P65" s="161" t="str">
        <x:v>["EVD-603418-0005-01"]</x:v>
      </x:c>
      <x:c r="Q65" s="161" t="str">
        <x:v>False</x:v>
      </x:c>
      <x:c r="R65" s="167" t="str">
        <x:v>无效的自动持股比例事实已隔离；不作为披露数值参与校验</x:v>
      </x:c>
    </x:row>
    <x:row r="66" ht="30" customHeight="1">
      <x:c r="A66" s="198" t="n">
        <x:v>603418</x:v>
      </x:c>
      <x:c r="B66" s="161" t="str">
        <x:v>友升股份</x:v>
      </x:c>
      <x:c r="C66" s="161" t="str">
        <x:v>VAL-603418-00065</x:v>
      </x:c>
      <x:c r="D66" s="161" t="str">
        <x:v>EVT-603418-0004</x:v>
      </x:c>
      <x:c r="E66" s="161" t="str"/>
      <x:c r="F66" s="161" t="str">
        <x:v>NV-RATIO-001</x:v>
      </x:c>
      <x:c r="G66" s="161" t="str">
        <x:v>持股比例范围校验</x:v>
      </x:c>
      <x:c r="H66" s="161" t="str">
        <x:v>NOT_APPLICABLE</x:v>
      </x:c>
      <x:c r="I66" s="161" t="str">
        <x:v>["NUM-603418-00013"]</x:v>
      </x:c>
      <x:c r="J66" s="161" t="str">
        <x:v>{"equity_ratio_normalized": null}</x:v>
      </x:c>
      <x:c r="K66" s="161" t="str"/>
      <x:c r="L66" s="161" t="str"/>
      <x:c r="M66" s="161" t="str"/>
      <x:c r="N66" s="161" t="str"/>
      <x:c r="O66" s="161" t="str"/>
      <x:c r="P66" s="161" t="str">
        <x:v>["EVD-603418-0005-01"]</x:v>
      </x:c>
      <x:c r="Q66" s="161" t="str">
        <x:v>False</x:v>
      </x:c>
      <x:c r="R66" s="167" t="str">
        <x:v>无效的自动持股比例事实已隔离；不作为披露数值参与校验</x:v>
      </x:c>
    </x:row>
    <x:row r="67" ht="30" customHeight="1">
      <x:c r="A67" s="198" t="n">
        <x:v>603418</x:v>
      </x:c>
      <x:c r="B67" s="161" t="str">
        <x:v>友升股份</x:v>
      </x:c>
      <x:c r="C67" s="161" t="str">
        <x:v>VAL-603418-00066</x:v>
      </x:c>
      <x:c r="D67" s="161" t="str">
        <x:v>EVT-603418-0004</x:v>
      </x:c>
      <x:c r="E67" s="161" t="str"/>
      <x:c r="F67" s="161" t="str">
        <x:v>NV-RATIO-001</x:v>
      </x:c>
      <x:c r="G67" s="161" t="str">
        <x:v>持股比例范围校验</x:v>
      </x:c>
      <x:c r="H67" s="161" t="str">
        <x:v>NOT_APPLICABLE</x:v>
      </x:c>
      <x:c r="I67" s="161" t="str">
        <x:v>["NUM-603418-00014"]</x:v>
      </x:c>
      <x:c r="J67" s="161" t="str">
        <x:v>{"equity_ratio_normalized": null}</x:v>
      </x:c>
      <x:c r="K67" s="161" t="str"/>
      <x:c r="L67" s="161" t="str"/>
      <x:c r="M67" s="161" t="str"/>
      <x:c r="N67" s="161" t="str"/>
      <x:c r="O67" s="161" t="str"/>
      <x:c r="P67" s="161" t="str">
        <x:v>["EVD-603418-0005-01"]</x:v>
      </x:c>
      <x:c r="Q67" s="161" t="str">
        <x:v>False</x:v>
      </x:c>
      <x:c r="R67" s="167" t="str">
        <x:v>无效的自动持股比例事实已隔离；不作为披露数值参与校验</x:v>
      </x:c>
    </x:row>
    <x:row r="68" ht="30" customHeight="1">
      <x:c r="A68" s="198" t="n">
        <x:v>603418</x:v>
      </x:c>
      <x:c r="B68" s="161" t="str">
        <x:v>友升股份</x:v>
      </x:c>
      <x:c r="C68" s="161" t="str">
        <x:v>VAL-603418-00067</x:v>
      </x:c>
      <x:c r="D68" s="161" t="str">
        <x:v>EVT-603418-0004</x:v>
      </x:c>
      <x:c r="E68" s="161" t="str"/>
      <x:c r="F68" s="161" t="str">
        <x:v>NV-RATIO-001</x:v>
      </x:c>
      <x:c r="G68" s="161" t="str">
        <x:v>持股比例范围校验</x:v>
      </x:c>
      <x:c r="H68" s="161" t="str">
        <x:v>NOT_APPLICABLE</x:v>
      </x:c>
      <x:c r="I68" s="161" t="str">
        <x:v>["NUM-603418-00015"]</x:v>
      </x:c>
      <x:c r="J68" s="161" t="str">
        <x:v>{"equity_ratio_normalized": null}</x:v>
      </x:c>
      <x:c r="K68" s="161" t="str"/>
      <x:c r="L68" s="161" t="str"/>
      <x:c r="M68" s="161" t="str"/>
      <x:c r="N68" s="161" t="str"/>
      <x:c r="O68" s="161" t="str"/>
      <x:c r="P68" s="161" t="str">
        <x:v>["EVD-603418-0005-01"]</x:v>
      </x:c>
      <x:c r="Q68" s="161" t="str">
        <x:v>False</x:v>
      </x:c>
      <x:c r="R68" s="167" t="str">
        <x:v>无效的自动持股比例事实已隔离；不作为披露数值参与校验</x:v>
      </x:c>
    </x:row>
    <x:row r="69" ht="30" customHeight="1">
      <x:c r="A69" s="198" t="n">
        <x:v>603418</x:v>
      </x:c>
      <x:c r="B69" s="161" t="str">
        <x:v>友升股份</x:v>
      </x:c>
      <x:c r="C69" s="161" t="str">
        <x:v>VAL-603418-00068</x:v>
      </x:c>
      <x:c r="D69" s="161" t="str">
        <x:v>EVT-603418-0004</x:v>
      </x:c>
      <x:c r="E69" s="161" t="str"/>
      <x:c r="F69" s="161" t="str">
        <x:v>NV-RATIO-001</x:v>
      </x:c>
      <x:c r="G69" s="161" t="str">
        <x:v>持股比例范围校验</x:v>
      </x:c>
      <x:c r="H69" s="161" t="str">
        <x:v>NOT_APPLICABLE</x:v>
      </x:c>
      <x:c r="I69" s="161" t="str">
        <x:v>["NUM-603418-00016"]</x:v>
      </x:c>
      <x:c r="J69" s="161" t="str">
        <x:v>{"equity_ratio_normalized": null}</x:v>
      </x:c>
      <x:c r="K69" s="161" t="str"/>
      <x:c r="L69" s="161" t="str"/>
      <x:c r="M69" s="161" t="str"/>
      <x:c r="N69" s="161" t="str"/>
      <x:c r="O69" s="161" t="str"/>
      <x:c r="P69" s="161" t="str">
        <x:v>["EVD-603418-0005-01"]</x:v>
      </x:c>
      <x:c r="Q69" s="161" t="str">
        <x:v>False</x:v>
      </x:c>
      <x:c r="R69" s="167" t="str">
        <x:v>无效的自动持股比例事实已隔离；不作为披露数值参与校验</x:v>
      </x:c>
    </x:row>
    <x:row r="70" ht="30" customHeight="1">
      <x:c r="A70" s="198" t="n">
        <x:v>688758</x:v>
      </x:c>
      <x:c r="B70" s="161" t="str">
        <x:v>赛分科技</x:v>
      </x:c>
      <x:c r="C70" s="161" t="str">
        <x:v>VAL-688758-00069</x:v>
      </x:c>
      <x:c r="D70" s="161" t="str">
        <x:v>EVT-688758-0004</x:v>
      </x:c>
      <x:c r="E70" s="161" t="str"/>
      <x:c r="F70" s="161" t="str">
        <x:v>NV-RATIO-001</x:v>
      </x:c>
      <x:c r="G70" s="161" t="str">
        <x:v>持股比例范围校验</x:v>
      </x:c>
      <x:c r="H70" s="161" t="str">
        <x:v>PASSED</x:v>
      </x:c>
      <x:c r="I70" s="161" t="str">
        <x:v>["NUM-688758-00002"]</x:v>
      </x:c>
      <x:c r="J70" s="161" t="str">
        <x:v>{"equity_ratio_normalized": 0.008}</x:v>
      </x:c>
      <x:c r="K70" s="161" t="str"/>
      <x:c r="L70" s="161" t="str"/>
      <x:c r="M70" s="161" t="str"/>
      <x:c r="N70" s="161" t="str"/>
      <x:c r="O70" s="161" t="str"/>
      <x:c r="P70" s="161" t="str">
        <x:v>["EVD-688758-0004-01"]</x:v>
      </x:c>
      <x:c r="Q70" s="161" t="str">
        <x:v>False</x:v>
      </x:c>
      <x:c r="R70" s="167" t="str"/>
    </x:row>
    <x:row r="71" ht="30" customHeight="1">
      <x:c r="A71" s="198" t="n">
        <x:v>1282</x:v>
      </x:c>
      <x:c r="B71" s="161" t="str">
        <x:v>三联锻造</x:v>
      </x:c>
      <x:c r="C71" s="161" t="str">
        <x:v>VAL-001282-00070</x:v>
      </x:c>
      <x:c r="D71" s="161" t="str"/>
      <x:c r="E71" s="161" t="str"/>
      <x:c r="F71" s="161" t="str">
        <x:v>NV-DATE-001</x:v>
      </x:c>
      <x:c r="G71" s="161" t="str">
        <x:v>公司事件时间顺序校验</x:v>
      </x:c>
      <x:c r="H71" s="161" t="str">
        <x:v>PASSED</x:v>
      </x:c>
      <x:c r="I71" s="161" t="str">
        <x:v>[]</x:v>
      </x:c>
      <x:c r="J71" s="161" t="str">
        <x:v>{"event_order": [{"event_id": "EVT-001282-0001", "event_period": "2004-06-18", "pdf_page_start": 30}, {"event_id": "EVT-001282-0002", "event_period": "2018-11", "pdf_page_start": 32}, {"event_id": "EVT-001282-0003", "event_period": "2019-12", "pdf_page_start": 35}]}</x:v>
      </x:c>
      <x:c r="K71" s="161" t="str"/>
      <x:c r="L71" s="161" t="str"/>
      <x:c r="M71" s="161" t="str"/>
      <x:c r="N71" s="161" t="str"/>
      <x:c r="O71" s="161" t="str"/>
      <x:c r="P71" s="161" t="str">
        <x:v>[]</x:v>
      </x:c>
      <x:c r="Q71" s="161" t="str">
        <x:v>False</x:v>
      </x:c>
      <x:c r="R71" s="167" t="str"/>
    </x:row>
    <x:row r="72" ht="30" customHeight="1">
      <x:c r="A72" s="198" t="n">
        <x:v>301581</x:v>
      </x:c>
      <x:c r="B72" s="161" t="str">
        <x:v>黄山谷捷</x:v>
      </x:c>
      <x:c r="C72" s="161" t="str">
        <x:v>VAL-301581-00071</x:v>
      </x:c>
      <x:c r="D72" s="161" t="str"/>
      <x:c r="E72" s="161" t="str"/>
      <x:c r="F72" s="161" t="str">
        <x:v>NV-DATE-001</x:v>
      </x:c>
      <x:c r="G72" s="161" t="str">
        <x:v>公司事件时间顺序校验</x:v>
      </x:c>
      <x:c r="H72" s="161" t="str">
        <x:v>PASSED</x:v>
      </x:c>
      <x:c r="I72" s="161" t="str">
        <x:v>[]</x:v>
      </x:c>
      <x:c r="J72" s="161" t="str">
        <x:v>{"event_order": [{"event_id": "EVT-301581-0001", "event_period": "2012-06", "pdf_page_start": 41}, {"event_id": "EVT-301581-0002", "event_period": "2021-04", "pdf_page_start": 41}, {"event_id": "EVT-301581-0003", "event_period": "2021-04", "pdf_page_start": 42}, {"event_id": "EVT-301581-0004", "event_period": "2021-11", "pdf_page_start": 44}, {"event_id": "EVT-301581-0005", "event_period": "2022-05", "pdf_page_start": 45}, {"event_id": "EVT-301581-0006", "event_period": "2022-09", "pdf_page_start": 46}]}</x:v>
      </x:c>
      <x:c r="K72" s="161" t="str"/>
      <x:c r="L72" s="161" t="str"/>
      <x:c r="M72" s="161" t="str"/>
      <x:c r="N72" s="161" t="str"/>
      <x:c r="O72" s="161" t="str"/>
      <x:c r="P72" s="161" t="str">
        <x:v>[]</x:v>
      </x:c>
      <x:c r="Q72" s="161" t="str">
        <x:v>False</x:v>
      </x:c>
      <x:c r="R72" s="167" t="str"/>
    </x:row>
    <x:row r="73" ht="30" customHeight="1">
      <x:c r="A73" s="198" t="n">
        <x:v>603418</x:v>
      </x:c>
      <x:c r="B73" s="161" t="str">
        <x:v>友升股份</x:v>
      </x:c>
      <x:c r="C73" s="161" t="str">
        <x:v>VAL-603418-00072</x:v>
      </x:c>
      <x:c r="D73" s="161" t="str"/>
      <x:c r="E73" s="161" t="str"/>
      <x:c r="F73" s="161" t="str">
        <x:v>NV-DATE-001</x:v>
      </x:c>
      <x:c r="G73" s="161" t="str">
        <x:v>公司事件时间顺序校验</x:v>
      </x:c>
      <x:c r="H73" s="161" t="str">
        <x:v>INFORMATIONAL</x:v>
      </x:c>
      <x:c r="I73" s="161" t="str">
        <x:v>[]</x:v>
      </x:c>
      <x:c r="J73" s="161" t="str">
        <x:v>{"event_order": [{"event_id": "EVT-603418-0001", "event_period": "1992-12-04", "pdf_page_start": 41}, {"event_id": "EVT-603418-0002", "event_period": "2020-09-09", "pdf_page_start": 42}, {"event_id": "EVT-603418-0003", "event_period": "2020-09", "pdf_page_start": 44}, {"event_id": "EVT-603418-0004", "event_period": "2022-12", "pdf_page_start": 45}]}</x:v>
      </x:c>
      <x:c r="K73" s="161" t="str"/>
      <x:c r="L73" s="161" t="str"/>
      <x:c r="M73" s="161" t="str"/>
      <x:c r="N73" s="161" t="str"/>
      <x:c r="O73" s="161" t="str"/>
      <x:c r="P73" s="161" t="str">
        <x:v>[]</x:v>
      </x:c>
      <x:c r="Q73" s="161" t="str">
        <x:v>False</x:v>
      </x:c>
      <x:c r="R73" s="167" t="str">
        <x:v>PDF页面顺序与事件日期顺序不一致；该结果仅记录时间线与详细正文并存，不进入人工复核</x:v>
      </x:c>
    </x:row>
    <x:row r="74" ht="30" customHeight="1">
      <x:c r="A74" s="198" t="n">
        <x:v>688758</x:v>
      </x:c>
      <x:c r="B74" s="161" t="str">
        <x:v>赛分科技</x:v>
      </x:c>
      <x:c r="C74" s="161" t="str">
        <x:v>VAL-688758-00073</x:v>
      </x:c>
      <x:c r="D74" s="161" t="str"/>
      <x:c r="E74" s="161" t="str"/>
      <x:c r="F74" s="161" t="str">
        <x:v>NV-DATE-001</x:v>
      </x:c>
      <x:c r="G74" s="161" t="str">
        <x:v>公司事件时间顺序校验</x:v>
      </x:c>
      <x:c r="H74" s="161" t="str">
        <x:v>INFORMATIONAL</x:v>
      </x:c>
      <x:c r="I74" s="161" t="str">
        <x:v>[]</x:v>
      </x:c>
      <x:c r="J74" s="161" t="str">
        <x:v>{"event_order": [{"event_id": "EVT-688758-0001", "event_period": "2009-01-23", "pdf_page_start": 50}, {"event_id": "EVT-688758-0002", "event_period": "2021-09-16", "pdf_page_start": 51}, {"event_id": "EVT-688758-0003", "event_period": "2021-04", "pdf_page_start": 55}, {"event_id": "EVT-688758-0004", "event_period": "2021-08", "pdf_page_start": 57}, {"event_id": "EVT-688758-0005", "event_period": "2021-11", "pdf_page_start": 59}, {"event_id": "EVT-688758-0006", "event_period": "2021-12", "pdf_page_start": 60}, {"event_id": "EVT-688758-0007", "event_period": "2021-12", "pdf_page_start": 62}]}</x:v>
      </x:c>
      <x:c r="K74" s="161" t="str"/>
      <x:c r="L74" s="161" t="str"/>
      <x:c r="M74" s="161" t="str"/>
      <x:c r="N74" s="161" t="str"/>
      <x:c r="O74" s="161" t="str"/>
      <x:c r="P74" s="161" t="str">
        <x:v>[]</x:v>
      </x:c>
      <x:c r="Q74" s="161" t="str">
        <x:v>False</x:v>
      </x:c>
      <x:c r="R74" s="167" t="str">
        <x:v>PDF页面顺序与事件日期顺序不一致；该结果仅记录时间线与详细正文并存，不进入人工复核</x:v>
      </x:c>
    </x:row>
    <x:row r="75" ht="30" customHeight="1">
      <x:c r="A75" s="198" t="n">
        <x:v>688775</x:v>
      </x:c>
      <x:c r="B75" s="161" t="str">
        <x:v>影石创新</x:v>
      </x:c>
      <x:c r="C75" s="161" t="str">
        <x:v>VAL-688775-00074</x:v>
      </x:c>
      <x:c r="D75" s="161" t="str"/>
      <x:c r="E75" s="161" t="str"/>
      <x:c r="F75" s="161" t="str">
        <x:v>NV-DATE-001</x:v>
      </x:c>
      <x:c r="G75" s="161" t="str">
        <x:v>公司事件时间顺序校验</x:v>
      </x:c>
      <x:c r="H75" s="161" t="str">
        <x:v>PASSED</x:v>
      </x:c>
      <x:c r="I75" s="161" t="str">
        <x:v>[]</x:v>
      </x:c>
      <x:c r="J75" s="161" t="str">
        <x:v>{"event_order": [{"event_id": "EVT-688775-0001", "event_period": "2015-07-09", "pdf_page_start": 62}, {"event_id": "EVT-688775-0002", "event_period": "2020-02-26", "pdf_page_start": 63}, {"event_id": "EVT-688775-0003", "event_period": "2023-03", "pdf_page_start": 65}]}</x:v>
      </x:c>
      <x:c r="K75" s="161" t="str"/>
      <x:c r="L75" s="161" t="str"/>
      <x:c r="M75" s="161" t="str"/>
      <x:c r="N75" s="161" t="str"/>
      <x:c r="O75" s="161" t="str"/>
      <x:c r="P75" s="161" t="str">
        <x:v>[]</x:v>
      </x:c>
      <x:c r="Q75" s="161" t="str">
        <x:v>False</x:v>
      </x:c>
      <x:c r="R75" s="167" t="str"/>
    </x:row>
    <x:row r="76" ht="30" customHeight="1">
      <x:c r="A76" s="198" t="n">
        <x:v>920100</x:v>
      </x:c>
      <x:c r="B76" s="161" t="str">
        <x:v>三协电机</x:v>
      </x:c>
      <x:c r="C76" s="161" t="str">
        <x:v>VAL-920100-00075</x:v>
      </x:c>
      <x:c r="D76" s="161" t="str"/>
      <x:c r="E76" s="161" t="str"/>
      <x:c r="F76" s="161" t="str">
        <x:v>NV-DATE-001</x:v>
      </x:c>
      <x:c r="G76" s="161" t="str">
        <x:v>公司事件时间顺序校验</x:v>
      </x:c>
      <x:c r="H76" s="161" t="str">
        <x:v>PASSED</x:v>
      </x:c>
      <x:c r="I76" s="161" t="str">
        <x:v>[]</x:v>
      </x:c>
      <x:c r="J76" s="161" t="str">
        <x:v>{"event_order": [{"event_id": "EVT-920100-0001", "event_period": "2021-03", "pdf_page_start": 39}]}</x:v>
      </x:c>
      <x:c r="K76" s="161" t="str"/>
      <x:c r="L76" s="161" t="str"/>
      <x:c r="M76" s="161" t="str"/>
      <x:c r="N76" s="161" t="str"/>
      <x:c r="O76" s="161" t="str"/>
      <x:c r="P76" s="161" t="str">
        <x:v>[]</x:v>
      </x:c>
      <x:c r="Q76" s="161" t="str">
        <x:v>False</x:v>
      </x:c>
      <x:c r="R76" s="167" t="str"/>
    </x:row>
    <x:row r="77" ht="30" customHeight="1">
      <x:c r="A77" s="198" t="n">
        <x:v>920116</x:v>
      </x:c>
      <x:c r="B77" s="161" t="str">
        <x:v>星图测控</x:v>
      </x:c>
      <x:c r="C77" s="161" t="str">
        <x:v>VAL-920116-00076</x:v>
      </x:c>
      <x:c r="D77" s="161" t="str"/>
      <x:c r="E77" s="161" t="str"/>
      <x:c r="F77" s="161" t="str">
        <x:v>NV-DATE-001</x:v>
      </x:c>
      <x:c r="G77" s="161" t="str">
        <x:v>公司事件时间顺序校验</x:v>
      </x:c>
      <x:c r="H77" s="161" t="str">
        <x:v>PASSED</x:v>
      </x:c>
      <x:c r="I77" s="161" t="str">
        <x:v>[]</x:v>
      </x:c>
      <x:c r="J77" s="161" t="str">
        <x:v>{"event_order": [{"event_id": "EVT-920116-0001", "event_period": "2023-05-16", "pdf_page_start": 35}]}</x:v>
      </x:c>
      <x:c r="K77" s="161" t="str"/>
      <x:c r="L77" s="161" t="str"/>
      <x:c r="M77" s="161" t="str"/>
      <x:c r="N77" s="161" t="str"/>
      <x:c r="O77" s="161" t="str"/>
      <x:c r="P77" s="161" t="str">
        <x:v>[]</x:v>
      </x:c>
      <x:c r="Q77" s="161" t="str">
        <x:v>False</x:v>
      </x:c>
      <x:c r="R77" s="167" t="str"/>
    </x:row>
    <x:row r="78" ht="30" customHeight="1">
      <x:c r="A78" s="198" t="n">
        <x:v>301581</x:v>
      </x:c>
      <x:c r="B78" s="161" t="str">
        <x:v>黄山谷捷</x:v>
      </x:c>
      <x:c r="C78" s="161" t="str">
        <x:v>VAL-301581-00077</x:v>
      </x:c>
      <x:c r="D78" s="161" t="str">
        <x:v>EVT-301581-0002</x:v>
      </x:c>
      <x:c r="E78" s="161" t="str">
        <x:v>TRX-301581-0002-01</x:v>
      </x:c>
      <x:c r="F78" s="161" t="str">
        <x:v>NV-LINK-001</x:v>
      </x:c>
      <x:c r="G78" s="161" t="str">
        <x:v>交易参与方完整性校验</x:v>
      </x:c>
      <x:c r="H78" s="161" t="str">
        <x:v>PASSED</x:v>
      </x:c>
      <x:c r="I78" s="161" t="str">
        <x:v>[]</x:v>
      </x:c>
      <x:c r="J78" s="161" t="str">
        <x:v>{"transaction_type": "ABSORPTION_MERGER", "required_fields": ["absorbed_party_ids"], "referenced_party_ids": ["PTY-301581-00001", "PTY-301581-00002", "PTY-301581-00003", "PTY-301581-00004", "PTY-301581-00005"]}</x:v>
      </x:c>
      <x:c r="K78" s="161" t="str"/>
      <x:c r="L78" s="161" t="str"/>
      <x:c r="M78" s="161" t="str"/>
      <x:c r="N78" s="161" t="str"/>
      <x:c r="O78" s="161" t="str"/>
      <x:c r="P78" s="161" t="str">
        <x:v>[]</x:v>
      </x:c>
      <x:c r="Q78" s="161" t="str">
        <x:v>False</x:v>
      </x:c>
      <x:c r="R78" s="167" t="str"/>
    </x:row>
    <x:row r="79" ht="30" customHeight="1">
      <x:c r="A79" s="198" t="n">
        <x:v>301581</x:v>
      </x:c>
      <x:c r="B79" s="161" t="str">
        <x:v>黄山谷捷</x:v>
      </x:c>
      <x:c r="C79" s="161" t="str">
        <x:v>VAL-301581-00078</x:v>
      </x:c>
      <x:c r="D79" s="161" t="str">
        <x:v>EVT-301581-0003</x:v>
      </x:c>
      <x:c r="E79" s="161" t="str">
        <x:v>TRX-301581-0003-01</x:v>
      </x:c>
      <x:c r="F79" s="161" t="str">
        <x:v>NV-LINK-001</x:v>
      </x:c>
      <x:c r="G79" s="161" t="str">
        <x:v>交易参与方完整性校验</x:v>
      </x:c>
      <x:c r="H79" s="161" t="str">
        <x:v>REVIEW_REQUIRED</x:v>
      </x:c>
      <x:c r="I79" s="161" t="str">
        <x:v>[]</x:v>
      </x:c>
      <x:c r="J79" s="161" t="str">
        <x:v>{"transaction_type": "EQUITY_TRANSFER", "required_fields": ["transferor_party_ids", "transferee_party_ids"], "referenced_party_ids": []}</x:v>
      </x:c>
      <x:c r="K79" s="161" t="str"/>
      <x:c r="L79" s="161" t="str"/>
      <x:c r="M79" s="161" t="str"/>
      <x:c r="N79" s="161" t="str"/>
      <x:c r="O79" s="161" t="str"/>
      <x:c r="P79" s="161" t="str">
        <x:v>[]</x:v>
      </x:c>
      <x:c r="Q79" s="161" t="str">
        <x:v>True</x:v>
      </x:c>
      <x:c r="R79" s="167" t="str">
        <x:v>缺失参与方字段：['transferor_party_ids', 'transferee_party_ids']；不存在的参与方ID：[]</x:v>
      </x:c>
    </x:row>
    <x:row r="80" ht="30" customHeight="1">
      <x:c r="A80" s="198" t="n">
        <x:v>688758</x:v>
      </x:c>
      <x:c r="B80" s="161" t="str">
        <x:v>赛分科技</x:v>
      </x:c>
      <x:c r="C80" s="161" t="str">
        <x:v>VAL-688758-00079</x:v>
      </x:c>
      <x:c r="D80" s="161" t="str">
        <x:v>EVT-688758-0003</x:v>
      </x:c>
      <x:c r="E80" s="161" t="str">
        <x:v>TRX-688758-0003-01</x:v>
      </x:c>
      <x:c r="F80" s="161" t="str">
        <x:v>NV-LINK-001</x:v>
      </x:c>
      <x:c r="G80" s="161" t="str">
        <x:v>交易参与方完整性校验</x:v>
      </x:c>
      <x:c r="H80" s="161" t="str">
        <x:v>REVIEW_REQUIRED</x:v>
      </x:c>
      <x:c r="I80" s="161" t="str">
        <x:v>[]</x:v>
      </x:c>
      <x:c r="J80" s="161" t="str">
        <x:v>{"transaction_type": "EQUITY_TRANSFER", "required_fields": ["transferor_party_ids", "transferee_party_ids"], "referenced_party_ids": ["PTY-688758-00001"]}</x:v>
      </x:c>
      <x:c r="K80" s="161" t="str"/>
      <x:c r="L80" s="161" t="str"/>
      <x:c r="M80" s="161" t="str"/>
      <x:c r="N80" s="161" t="str"/>
      <x:c r="O80" s="161" t="str"/>
      <x:c r="P80" s="161" t="str">
        <x:v>[]</x:v>
      </x:c>
      <x:c r="Q80" s="161" t="str">
        <x:v>True</x:v>
      </x:c>
      <x:c r="R80" s="167" t="str">
        <x:v>缺失参与方字段：['transferee_party_ids']；不存在的参与方ID：[]</x:v>
      </x:c>
    </x:row>
    <x:row r="81" ht="30" customHeight="1">
      <x:c r="A81" s="198" t="n">
        <x:v>688758</x:v>
      </x:c>
      <x:c r="B81" s="161" t="str">
        <x:v>赛分科技</x:v>
      </x:c>
      <x:c r="C81" s="161" t="str">
        <x:v>VAL-688758-00080</x:v>
      </x:c>
      <x:c r="D81" s="161" t="str">
        <x:v>EVT-688758-0004</x:v>
      </x:c>
      <x:c r="E81" s="161" t="str">
        <x:v>TRX-688758-0004-01</x:v>
      </x:c>
      <x:c r="F81" s="161" t="str">
        <x:v>NV-LINK-001</x:v>
      </x:c>
      <x:c r="G81" s="161" t="str">
        <x:v>交易参与方完整性校验</x:v>
      </x:c>
      <x:c r="H81" s="161" t="str">
        <x:v>PASSED</x:v>
      </x:c>
      <x:c r="I81" s="161" t="str">
        <x:v>[]</x:v>
      </x:c>
      <x:c r="J81" s="161" t="str">
        <x:v>{"transaction_type": "EQUITY_TRANSFER", "required_fields": ["transferor_party_ids", "transferee_party_ids"], "referenced_party_ids": ["PTY-688758-00001", "PTY-688758-00002"]}</x:v>
      </x:c>
      <x:c r="K81" s="161" t="str"/>
      <x:c r="L81" s="161" t="str"/>
      <x:c r="M81" s="161" t="str"/>
      <x:c r="N81" s="161" t="str"/>
      <x:c r="O81" s="161" t="str"/>
      <x:c r="P81" s="161" t="str">
        <x:v>[]</x:v>
      </x:c>
      <x:c r="Q81" s="161" t="str">
        <x:v>False</x:v>
      </x:c>
      <x:c r="R81" s="167" t="str"/>
    </x:row>
    <x:row r="82" ht="30" customHeight="1">
      <x:c r="A82" s="199" t="n">
        <x:v>688775</x:v>
      </x:c>
      <x:c r="B82" s="169" t="str">
        <x:v>影石创新</x:v>
      </x:c>
      <x:c r="C82" s="169" t="str">
        <x:v>VAL-688775-00081</x:v>
      </x:c>
      <x:c r="D82" s="169" t="str">
        <x:v>EVT-688775-0003</x:v>
      </x:c>
      <x:c r="E82" s="169" t="str">
        <x:v>TRX-688775-0003-01</x:v>
      </x:c>
      <x:c r="F82" s="169" t="str">
        <x:v>NV-LINK-001</x:v>
      </x:c>
      <x:c r="G82" s="169" t="str">
        <x:v>交易参与方完整性校验</x:v>
      </x:c>
      <x:c r="H82" s="169" t="str">
        <x:v>REVIEW_REQUIRED</x:v>
      </x:c>
      <x:c r="I82" s="169" t="str">
        <x:v>[]</x:v>
      </x:c>
      <x:c r="J82" s="169" t="str">
        <x:v>{"transaction_type": "EQUITY_TRANSFER", "required_fields": ["transferor_party_ids", "transferee_party_ids"], "referenced_party_ids": []}</x:v>
      </x:c>
      <x:c r="K82" s="169" t="str"/>
      <x:c r="L82" s="169" t="str"/>
      <x:c r="M82" s="169" t="str"/>
      <x:c r="N82" s="169" t="str"/>
      <x:c r="O82" s="169" t="str"/>
      <x:c r="P82" s="169" t="str">
        <x:v>[]</x:v>
      </x:c>
      <x:c r="Q82" s="169" t="str">
        <x:v>True</x:v>
      </x:c>
      <x:c r="R82" s="170" t="str">
        <x:v>缺失参与方字段：['transferor_party_ids', 'transferee_party_ids']；不存在的参与方ID：[]</x:v>
      </x:c>
    </x:row>
  </x:sheetData>
  <x:conditionalFormatting sqref="H2:H82">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tableParts count="1">
    <x:tablePart xmlns:r="http://schemas.openxmlformats.org/officeDocument/2006/relationships" r:id="R42f2b3f3b0bb474c"/>
  </x:tableParts>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103" t="str">
        <x:v>证券代码</x:v>
      </x:c>
      <x:c r="B1" s="104" t="str">
        <x:v>公司简称</x:v>
      </x:c>
      <x:c r="C1" s="104" t="str">
        <x:v>投资主体ID</x:v>
      </x:c>
      <x:c r="D1" s="104" t="str">
        <x:v>投资主体</x:v>
      </x:c>
      <x:c r="E1" s="104" t="str">
        <x:v>主体类型</x:v>
      </x:c>
      <x:c r="F1" s="104" t="str">
        <x:v>PE/VC状态</x:v>
      </x:c>
      <x:c r="G1" s="104" t="str">
        <x:v>分类依据</x:v>
      </x:c>
      <x:c r="H1" s="104" t="str">
        <x:v>来源事件ID</x:v>
      </x:c>
      <x:c r="I1" s="104" t="str">
        <x:v>来源交易ID</x:v>
      </x:c>
      <x:c r="J1" s="104" t="str">
        <x:v>证据ID</x:v>
      </x:c>
      <x:c r="K1" s="104" t="str">
        <x:v>抽取来源</x:v>
      </x:c>
      <x:c r="L1" s="104" t="str">
        <x:v>置信度</x:v>
      </x:c>
      <x:c r="M1" s="104" t="str">
        <x:v>是否复核</x:v>
      </x:c>
      <x:c r="N1" s="105" t="str">
        <x:v>复核原因</x:v>
      </x:c>
    </x:row>
    <x:row r="2" ht="30" customHeight="1">
      <x:c r="A2" s="197" t="n">
        <x:v>603418</x:v>
      </x:c>
      <x:c r="B2" s="164" t="str">
        <x:v>友升股份</x:v>
      </x:c>
      <x:c r="C2" s="164" t="str">
        <x:v>INV-603418-0009</x:v>
      </x:c>
      <x:c r="D2" s="164" t="str">
        <x:v>金浦临港基金</x:v>
      </x:c>
      <x:c r="E2" s="164" t="str">
        <x:v>PRIVATE_EQUITY_OR_VENTURE_ENTITY</x:v>
      </x:c>
      <x:c r="F2" s="164" t="str">
        <x:v>PEVC_CANDIDATE</x:v>
      </x:c>
      <x:c r="G2" s="164" t="str">
        <x:v>["名称命中强PE/VC关键词", "名称具有基金或投资机构法律形态"]</x:v>
      </x:c>
      <x:c r="H2" s="164" t="str">
        <x:v>["EVT-603418-0003"]</x:v>
      </x:c>
      <x:c r="I2" s="164" t="str">
        <x:v>["TRX-603418-0003-01"]</x:v>
      </x:c>
      <x:c r="J2" s="164" t="str">
        <x:v>["EVD-603418-0004-01", "EVD-603418-0004-02"]</x:v>
      </x:c>
      <x:c r="K2" s="164" t="str">
        <x:v>EVIDENCE_COMPOUND_LIST</x:v>
      </x:c>
      <x:c r="L2" s="164" t="n">
        <x:v>0.93</x:v>
      </x:c>
      <x:c r="M2" s="164" t="str">
        <x:v>否</x:v>
      </x:c>
      <x:c r="N2" s="165" t="str">
        <x:v>[]</x:v>
      </x:c>
    </x:row>
    <x:row r="3" ht="30" customHeight="1">
      <x:c r="A3" s="199" t="n">
        <x:v>603418</x:v>
      </x:c>
      <x:c r="B3" s="169" t="str">
        <x:v>友升股份</x:v>
      </x:c>
      <x:c r="C3" s="169" t="str">
        <x:v>INV-603418-0010</x:v>
      </x:c>
      <x:c r="D3" s="169" t="str">
        <x:v>金浦科创基金</x:v>
      </x:c>
      <x:c r="E3" s="169" t="str">
        <x:v>PRIVATE_EQUITY_OR_VENTURE_ENTITY</x:v>
      </x:c>
      <x:c r="F3" s="169" t="str">
        <x:v>PEVC_CANDIDATE</x:v>
      </x:c>
      <x:c r="G3" s="169" t="str">
        <x:v>["名称命中强PE/VC关键词", "名称具有基金或投资机构法律形态"]</x:v>
      </x:c>
      <x:c r="H3" s="169" t="str">
        <x:v>["EVT-603418-0003"]</x:v>
      </x:c>
      <x:c r="I3" s="169" t="str">
        <x:v>["TRX-603418-0003-01"]</x:v>
      </x:c>
      <x:c r="J3" s="169" t="str">
        <x:v>["EVD-603418-0004-01", "EVD-603418-0004-02"]</x:v>
      </x:c>
      <x:c r="K3" s="169" t="str">
        <x:v>EVIDENCE_COMPOUND_LIST</x:v>
      </x:c>
      <x:c r="L3" s="169" t="n">
        <x:v>0.93</x:v>
      </x:c>
      <x:c r="M3" s="169" t="str">
        <x:v>否</x:v>
      </x:c>
      <x:c r="N3" s="170" t="str">
        <x:v>[]</x:v>
      </x:c>
    </x:row>
  </x:sheetData>
  <x:conditionalFormatting sqref="F2:F3">
    <x:cfRule type="expression" dxfId="9" priority="1">
      <x:formula>OR(F2="PASSED",F2="READY",F2="FROZEN",F2="FINAL_JSON_READY")</x:formula>
    </x:cfRule>
    <x:cfRule type="expression" dxfId="10" priority="2">
      <x:formula>OR(F2="FAILED",F2="REJECTED")</x:formula>
    </x:cfRule>
    <x:cfRule type="expression" dxfId="11" priority="3">
      <x:formula>OR(ISNUMBER(SEARCH("REVIEW",F2)),F2="PENDING",F2="OPEN")</x:formula>
    </x:cfRule>
  </x:conditionalFormatting>
  <x:pageMargins left="0.7" right="0.7" top="0.75" bottom="0.75" header="0.3" footer="0.3"/>
  <x:tableParts count="1">
    <x:tablePart xmlns:r="http://schemas.openxmlformats.org/officeDocument/2006/relationships" r:id="Rb49983baacdf46a7"/>
  </x:tableParts>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103" t="str">
        <x:v>证券代码</x:v>
      </x:c>
      <x:c r="B1" s="104" t="str">
        <x:v>公司简称</x:v>
      </x:c>
      <x:c r="C1" s="104" t="str">
        <x:v>投资路径ID</x:v>
      </x:c>
      <x:c r="D1" s="104" t="str">
        <x:v>投资主体ID</x:v>
      </x:c>
      <x:c r="E1" s="104" t="str">
        <x:v>投资主体</x:v>
      </x:c>
      <x:c r="F1" s="104" t="str">
        <x:v>事件ID</x:v>
      </x:c>
      <x:c r="G1" s="104" t="str">
        <x:v>交易ID</x:v>
      </x:c>
      <x:c r="H1" s="104" t="str">
        <x:v>进入方式</x:v>
      </x:c>
      <x:c r="I1" s="104" t="str">
        <x:v>投资层级</x:v>
      </x:c>
      <x:c r="J1" s="104" t="str">
        <x:v>直接/间接</x:v>
      </x:c>
      <x:c r="K1" s="104" t="str">
        <x:v>交易日期</x:v>
      </x:c>
      <x:c r="L1" s="104" t="str">
        <x:v>证据ID</x:v>
      </x:c>
      <x:c r="M1" s="104" t="str">
        <x:v>路径状态</x:v>
      </x:c>
      <x:c r="N1" s="104" t="str">
        <x:v>置信度</x:v>
      </x:c>
      <x:c r="O1" s="104" t="str">
        <x:v>是否复核</x:v>
      </x:c>
      <x:c r="P1" s="105" t="str">
        <x:v>复核原因</x:v>
      </x:c>
    </x:row>
    <x:row r="2" ht="30" customHeight="1">
      <x:c r="A2" s="197" t="n">
        <x:v>603418</x:v>
      </x:c>
      <x:c r="B2" s="164" t="str">
        <x:v>友升股份</x:v>
      </x:c>
      <x:c r="C2" s="164" t="str">
        <x:v>PATH-603418-00006</x:v>
      </x:c>
      <x:c r="D2" s="164" t="str">
        <x:v>INV-603418-0010</x:v>
      </x:c>
      <x:c r="E2" s="164" t="str">
        <x:v>金浦科创基金</x:v>
      </x:c>
      <x:c r="F2" s="164" t="str">
        <x:v>EVT-603418-0003</x:v>
      </x:c>
      <x:c r="G2" s="164" t="str">
        <x:v>TRX-603418-0003-01</x:v>
      </x:c>
      <x:c r="H2" s="164" t="str">
        <x:v>CAPITAL_INCREASE_ENTRY</x:v>
      </x:c>
      <x:c r="I2" s="164" t="str">
        <x:v>ISSUER_LEVEL</x:v>
      </x:c>
      <x:c r="J2" s="164" t="str">
        <x:v>DIRECT</x:v>
      </x:c>
      <x:c r="K2" s="164" t="str">
        <x:v>2020-09</x:v>
      </x:c>
      <x:c r="L2" s="164" t="str">
        <x:v>["EVD-603418-0004-01", "EVD-603418-0004-02"]</x:v>
      </x:c>
      <x:c r="M2" s="164" t="str">
        <x:v>AUTO_IDENTIFIED</x:v>
      </x:c>
      <x:c r="N2" s="164" t="str">
        <x:v>0.88</x:v>
      </x:c>
      <x:c r="O2" s="164" t="str">
        <x:v>False</x:v>
      </x:c>
      <x:c r="P2" s="165" t="str">
        <x:v>[]</x:v>
      </x:c>
    </x:row>
    <x:row r="3" ht="30" customHeight="1">
      <x:c r="A3" s="199" t="n">
        <x:v>603418</x:v>
      </x:c>
      <x:c r="B3" s="169" t="str">
        <x:v>友升股份</x:v>
      </x:c>
      <x:c r="C3" s="169" t="str">
        <x:v>PATH-603418-00007</x:v>
      </x:c>
      <x:c r="D3" s="169" t="str">
        <x:v>INV-603418-0009</x:v>
      </x:c>
      <x:c r="E3" s="169" t="str">
        <x:v>金浦临港基金</x:v>
      </x:c>
      <x:c r="F3" s="169" t="str">
        <x:v>EVT-603418-0003</x:v>
      </x:c>
      <x:c r="G3" s="169" t="str">
        <x:v>TRX-603418-0003-01</x:v>
      </x:c>
      <x:c r="H3" s="169" t="str">
        <x:v>CAPITAL_INCREASE_ENTRY</x:v>
      </x:c>
      <x:c r="I3" s="169" t="str">
        <x:v>ISSUER_LEVEL</x:v>
      </x:c>
      <x:c r="J3" s="169" t="str">
        <x:v>DIRECT</x:v>
      </x:c>
      <x:c r="K3" s="169" t="str">
        <x:v>2020-09</x:v>
      </x:c>
      <x:c r="L3" s="169" t="str">
        <x:v>["EVD-603418-0004-01", "EVD-603418-0004-02"]</x:v>
      </x:c>
      <x:c r="M3" s="169" t="str">
        <x:v>AUTO_IDENTIFIED</x:v>
      </x:c>
      <x:c r="N3" s="169" t="str">
        <x:v>0.88</x:v>
      </x:c>
      <x:c r="O3" s="169" t="str">
        <x:v>False</x:v>
      </x:c>
      <x:c r="P3" s="170" t="str">
        <x:v>[]</x:v>
      </x:c>
    </x:row>
  </x:sheetData>
  <x:conditionalFormatting sqref="M2:M3">
    <x:cfRule type="expression" dxfId="12" priority="1">
      <x:formula>OR(M2="PASSED",M2="READY",M2="FROZEN",M2="FINAL_JSON_READY")</x:formula>
    </x:cfRule>
    <x:cfRule type="expression" dxfId="13" priority="2">
      <x:formula>OR(M2="FAILED",M2="REJECTED")</x:formula>
    </x:cfRule>
    <x:cfRule type="expression" dxfId="14" priority="3">
      <x:formula>OR(ISNUMBER(SEARCH("REVIEW",M2)),M2="PENDING",M2="OPEN")</x:formula>
    </x:cfRule>
  </x:conditionalFormatting>
  <x:pageMargins left="0.7" right="0.7" top="0.75" bottom="0.75" header="0.3" footer="0.3"/>
  <x:tableParts count="1">
    <x:tablePart xmlns:r="http://schemas.openxmlformats.org/officeDocument/2006/relationships" r:id="Ra99665f86a054544"/>
  </x:tableParts>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103" t="str">
        <x:v>证券代码</x:v>
      </x:c>
      <x:c r="B1" s="104" t="str">
        <x:v>公司简称</x:v>
      </x:c>
      <x:c r="C1" s="104" t="str">
        <x:v>快照状态</x:v>
      </x:c>
      <x:c r="D1" s="104" t="str">
        <x:v>快照数量</x:v>
      </x:c>
      <x:c r="E1" s="104" t="str">
        <x:v>可用持股比例事实ID</x:v>
      </x:c>
      <x:c r="F1" s="104" t="str">
        <x:v>是否需人工复核</x:v>
      </x:c>
      <x:c r="G1" s="105" t="str">
        <x:v>处理原则</x:v>
      </x:c>
    </x:row>
    <x:row r="2" ht="30" customHeight="1">
      <x:c r="A2" s="197" t="n">
        <x:v>1282</x:v>
      </x:c>
      <x:c r="B2" s="164" t="str">
        <x:v>三联锻造</x:v>
      </x:c>
      <x:c r="C2" s="164" t="str">
        <x:v>DISCLOSED_FACTS_AVAILABLE_BUT_PARTY_RATIO_LINKAGE_NOT_CONFIRMED</x:v>
      </x:c>
      <x:c r="D2" s="164" t="n">
        <x:v>0</x:v>
      </x:c>
      <x:c r="E2" s="164" t="str">
        <x:v>["NUM-001282-00003", "NUM-001282-00004"]</x:v>
      </x:c>
      <x:c r="F2" s="164" t="str">
        <x:v>是</x:v>
      </x:c>
      <x:c r="G2" s="165" t="str">
        <x:v>不将未建立主体对应关系的比例事实强行组成股权结构快照</x:v>
      </x:c>
    </x:row>
    <x:row r="3" ht="30" customHeight="1">
      <x:c r="A3" s="198" t="n">
        <x:v>301581</x:v>
      </x:c>
      <x:c r="B3" s="161" t="str">
        <x:v>黄山谷捷</x:v>
      </x:c>
      <x:c r="C3" s="161" t="str">
        <x:v>DISCLOSED_FACTS_AVAILABLE_BUT_PARTY_RATIO_LINKAGE_NOT_CONFIRMED</x:v>
      </x:c>
      <x:c r="D3" s="161" t="n">
        <x:v>0</x:v>
      </x:c>
      <x:c r="E3" s="161" t="str">
        <x:v>["NUM-301581-00002", "NUM-301581-00003", "NUM-301581-00002", "NUM-301581-00003"]</x:v>
      </x:c>
      <x:c r="F3" s="161" t="str">
        <x:v>是</x:v>
      </x:c>
      <x:c r="G3" s="167" t="str">
        <x:v>不将未建立主体对应关系的比例事实强行组成股权结构快照</x:v>
      </x:c>
    </x:row>
    <x:row r="4" ht="30" customHeight="1">
      <x:c r="A4" s="198" t="n">
        <x:v>603418</x:v>
      </x:c>
      <x:c r="B4" s="161" t="str">
        <x:v>友升股份</x:v>
      </x:c>
      <x:c r="C4" s="161" t="str">
        <x:v>NOT_CONSTRUCTIBLE_FROM_CURRENT_DISCLOSED_FACTS</x:v>
      </x:c>
      <x:c r="D4" s="161" t="n">
        <x:v>0</x:v>
      </x:c>
      <x:c r="E4" s="161" t="str">
        <x:v>[]</x:v>
      </x:c>
      <x:c r="F4" s="161" t="str">
        <x:v>否</x:v>
      </x:c>
      <x:c r="G4" s="167" t="str">
        <x:v>不将未建立主体对应关系的比例事实强行组成股权结构快照</x:v>
      </x:c>
    </x:row>
    <x:row r="5" ht="30" customHeight="1">
      <x:c r="A5" s="198" t="n">
        <x:v>688758</x:v>
      </x:c>
      <x:c r="B5" s="161" t="str">
        <x:v>赛分科技</x:v>
      </x:c>
      <x:c r="C5" s="161" t="str">
        <x:v>DISCLOSED_FACTS_AVAILABLE_BUT_PARTY_RATIO_LINKAGE_NOT_CONFIRMED</x:v>
      </x:c>
      <x:c r="D5" s="161" t="n">
        <x:v>0</x:v>
      </x:c>
      <x:c r="E5" s="161" t="str">
        <x:v>["NUM-688758-00002"]</x:v>
      </x:c>
      <x:c r="F5" s="161" t="str">
        <x:v>是</x:v>
      </x:c>
      <x:c r="G5" s="167" t="str">
        <x:v>不将未建立主体对应关系的比例事实强行组成股权结构快照</x:v>
      </x:c>
    </x:row>
    <x:row r="6" ht="30" customHeight="1">
      <x:c r="A6" s="198" t="n">
        <x:v>688775</x:v>
      </x:c>
      <x:c r="B6" s="161" t="str">
        <x:v>影石创新</x:v>
      </x:c>
      <x:c r="C6" s="161" t="str">
        <x:v>NOT_CONSTRUCTIBLE_FROM_CURRENT_DISCLOSED_FACTS</x:v>
      </x:c>
      <x:c r="D6" s="161" t="n">
        <x:v>0</x:v>
      </x:c>
      <x:c r="E6" s="161" t="str">
        <x:v>[]</x:v>
      </x:c>
      <x:c r="F6" s="161" t="str">
        <x:v>否</x:v>
      </x:c>
      <x:c r="G6" s="167" t="str">
        <x:v>不将未建立主体对应关系的比例事实强行组成股权结构快照</x:v>
      </x:c>
    </x:row>
    <x:row r="7" ht="30" customHeight="1">
      <x:c r="A7" s="198" t="n">
        <x:v>920100</x:v>
      </x:c>
      <x:c r="B7" s="161" t="str">
        <x:v>三协电机</x:v>
      </x:c>
      <x:c r="C7" s="161" t="str">
        <x:v>NOT_CONSTRUCTIBLE_FROM_CURRENT_DISCLOSED_FACTS</x:v>
      </x:c>
      <x:c r="D7" s="161" t="n">
        <x:v>0</x:v>
      </x:c>
      <x:c r="E7" s="161" t="str">
        <x:v>[]</x:v>
      </x:c>
      <x:c r="F7" s="161" t="str">
        <x:v>否</x:v>
      </x:c>
      <x:c r="G7" s="167" t="str">
        <x:v>不将未建立主体对应关系的比例事实强行组成股权结构快照</x:v>
      </x:c>
    </x:row>
    <x:row r="8" ht="30" customHeight="1">
      <x:c r="A8" s="199" t="n">
        <x:v>920116</x:v>
      </x:c>
      <x:c r="B8" s="169" t="str">
        <x:v>星图测控</x:v>
      </x:c>
      <x:c r="C8" s="169" t="str">
        <x:v>NOT_CONSTRUCTIBLE_FROM_CURRENT_DISCLOSED_FACTS</x:v>
      </x:c>
      <x:c r="D8" s="169" t="n">
        <x:v>0</x:v>
      </x:c>
      <x:c r="E8" s="169" t="str">
        <x:v>[]</x:v>
      </x:c>
      <x:c r="F8" s="169" t="str">
        <x:v>否</x:v>
      </x:c>
      <x:c r="G8" s="170" t="str">
        <x:v>不将未建立主体对应关系的比例事实强行组成股权结构快照</x:v>
      </x:c>
    </x:row>
  </x:sheetData>
  <x:conditionalFormatting sqref="C2:C8">
    <x:cfRule type="expression" dxfId="15" priority="1">
      <x:formula>OR(C2="PASSED",C2="READY",C2="FROZEN",C2="FINAL_JSON_READY")</x:formula>
    </x:cfRule>
    <x:cfRule type="expression" dxfId="16" priority="2">
      <x:formula>OR(C2="FAILED",C2="REJECTED")</x:formula>
    </x:cfRule>
    <x:cfRule type="expression" dxfId="17" priority="3">
      <x:formula>OR(ISNUMBER(SEARCH("REVIEW",C2)),C2="PENDING",C2="OPEN")</x:formula>
    </x:cfRule>
  </x:conditionalFormatting>
  <x:pageMargins left="0.7" right="0.7" top="0.75" bottom="0.75" header="0.3" footer="0.3"/>
  <x:tableParts count="1">
    <x:tablePart xmlns:r="http://schemas.openxmlformats.org/officeDocument/2006/relationships" r:id="R4c977f7294fd43c1"/>
  </x:tableParts>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103" t="str">
        <x:v>证券代码</x:v>
      </x:c>
      <x:c r="B1" s="104" t="str">
        <x:v>公司简称</x:v>
      </x:c>
      <x:c r="C1" s="104" t="str">
        <x:v>来源阶段</x:v>
      </x:c>
      <x:c r="D1" s="104" t="str">
        <x:v>复核ID</x:v>
      </x:c>
      <x:c r="E1" s="104" t="str">
        <x:v>记录类型</x:v>
      </x:c>
      <x:c r="F1" s="104" t="str">
        <x:v>记录ID</x:v>
      </x:c>
      <x:c r="G1" s="104" t="str">
        <x:v>事件ID</x:v>
      </x:c>
      <x:c r="H1" s="104" t="str">
        <x:v>交易ID</x:v>
      </x:c>
      <x:c r="I1" s="104" t="str">
        <x:v>复核原因</x:v>
      </x:c>
      <x:c r="J1" s="104" t="str">
        <x:v>已有决定</x:v>
      </x:c>
      <x:c r="K1" s="104" t="str">
        <x:v>复核状态</x:v>
      </x:c>
      <x:c r="L1" s="104" t="str">
        <x:v>人工状态</x:v>
      </x:c>
      <x:c r="M1" s="105" t="str">
        <x:v>人工备注</x:v>
      </x:c>
    </x:row>
    <x:row r="2" ht="48" customHeight="1">
      <x:c r="A2" s="197" t="n">
        <x:v>1282</x:v>
      </x:c>
      <x:c r="B2" s="164" t="str">
        <x:v>三联锻造</x:v>
      </x:c>
      <x:c r="C2" s="164" t="str">
        <x:v>CANDIDATE_FREEZE</x:v>
      </x:c>
      <x:c r="D2" s="164" t="str">
        <x:v>CEPATCH-001282-CE-001282-0001</x:v>
      </x:c>
      <x:c r="E2" s="164" t="str">
        <x:v>CANDIDATE_REVIEW_PATCH</x:v>
      </x:c>
      <x:c r="F2" s="164" t="str">
        <x:v>CE-001282-0001</x:v>
      </x:c>
      <x:c r="G2" s="164"/>
      <x:c r="H2" s="164"/>
      <x:c r="I2" s="164" t="str">
        <x:v>保留PDF详细披露的2004年6月18日有限公司设立；时间线恢复的1999年背景日期不构成独立设立事件。</x:v>
      </x:c>
      <x:c r="J2" s="164" t="str">
        <x:v>ACCEPTED</x:v>
      </x:c>
      <x:c r="K2" s="164" t="str">
        <x:v>MANUALLY_REVIEWED_CONFIRMED_PRIOR_DECISION</x:v>
      </x:c>
      <x:c r="L2" s="164" t="str">
        <x:v>ACCEPTED</x:v>
      </x:c>
      <x:c r="M2" s="165" t="str">
        <x:v>用户确认已于2026-07-24完成人工复核；确认并接受已有决定：ACCEPTED。</x:v>
      </x:c>
    </x:row>
    <x:row r="3" ht="48" customHeight="1">
      <x:c r="A3" s="198" t="n">
        <x:v>1282</x:v>
      </x:c>
      <x:c r="B3" s="161" t="str">
        <x:v>三联锻造</x:v>
      </x:c>
      <x:c r="C3" s="161" t="str">
        <x:v>CANDIDATE_FREEZE</x:v>
      </x:c>
      <x:c r="D3" s="161" t="str">
        <x:v>CEPATCH-001282-CE-001282-0002</x:v>
      </x:c>
      <x:c r="E3" s="161" t="str">
        <x:v>CANDIDATE_REVIEW_PATCH</x:v>
      </x:c>
      <x:c r="F3" s="161" t="str">
        <x:v>CE-001282-0002</x:v>
      </x:c>
      <x:c r="G3" s="161"/>
      <x:c r="H3" s="161"/>
      <x:c r="I3" s="161" t="str">
        <x:v>与已接受的发行人设立事件重复，或属于被吸收方/程序性日期；不进入冻结候选。</x:v>
      </x:c>
      <x:c r="J3" s="161" t="str">
        <x:v>REJECTED_DUPLICATE_OR_WRONG_ENTITY</x:v>
      </x:c>
      <x:c r="K3" s="161" t="str">
        <x:v>MANUALLY_REVIEWED_CONFIRMED_PRIOR_DECISION</x:v>
      </x:c>
      <x:c r="L3" s="161" t="str">
        <x:v>ACCEPTED</x:v>
      </x:c>
      <x:c r="M3" s="167" t="str">
        <x:v>用户确认已于2026-07-24完成人工复核；确认并接受已有决定：REJECTED_DUPLICATE_OR_WRONG_ENTITY。</x:v>
      </x:c>
    </x:row>
    <x:row r="4" ht="48" customHeight="1">
      <x:c r="A4" s="198" t="n">
        <x:v>1282</x:v>
      </x:c>
      <x:c r="B4" s="161" t="str">
        <x:v>三联锻造</x:v>
      </x:c>
      <x:c r="C4" s="161" t="str">
        <x:v>STRUCTURED_EVENTS</x:v>
      </x:c>
      <x:c r="D4" s="161" t="str">
        <x:v>REV-GAP-001282-0001</x:v>
      </x:c>
      <x:c r="E4" s="161" t="str">
        <x:v>DISCLOSURE_COVERAGE_GAP</x:v>
      </x:c>
      <x:c r="F4" s="161" t="str">
        <x:v>GAP-001282-0001</x:v>
      </x:c>
      <x:c r="G4" s="161"/>
      <x:c r="H4" s="161"/>
      <x:c r="I4" s="161" t="str">
        <x:v>原文披露多个历史事件，但当前冻结范围内未逐项展开。该记录用于防止静默漏项；招股书未披露的单事件信息不得编造。</x:v>
      </x:c>
      <x:c r="J4" s="161" t="str">
        <x:v>ACCEPT_DISCLOSURE_LIMITATION</x:v>
      </x:c>
      <x:c r="K4" s="161" t="str">
        <x:v>MANUALLY_REVIEWED_DISCLOSURE_LIMITATION</x:v>
      </x:c>
      <x:c r="L4" s="161" t="str">
        <x:v>ACCEPT_DISCLOSURE_LIMITATION</x:v>
      </x:c>
      <x:c r="M4" s="167" t="str">
        <x:v>用户确认已于2026-07-24完成人工复核；接受招股书披露限制，不补写未逐项披露的信息。</x:v>
      </x:c>
    </x:row>
    <x:row r="5" ht="48" customHeight="1">
      <x:c r="A5" s="198" t="n">
        <x:v>301581</x:v>
      </x:c>
      <x:c r="B5" s="161" t="str">
        <x:v>黄山谷捷</x:v>
      </x:c>
      <x:c r="C5" s="161" t="str">
        <x:v>CANDIDATE_FREEZE</x:v>
      </x:c>
      <x:c r="D5" s="161" t="str">
        <x:v>CEPATCH-301581-CE-301581-0001</x:v>
      </x:c>
      <x:c r="E5" s="161" t="str">
        <x:v>CANDIDATE_REVIEW_PATCH</x:v>
      </x:c>
      <x:c r="F5" s="161" t="str">
        <x:v>CE-301581-0001</x:v>
      </x:c>
      <x:c r="G5" s="161"/>
      <x:c r="H5" s="161"/>
      <x:c r="I5" s="161" t="str">
        <x:v>保留2012年6月发行人前身设立时间线候选；昆山谷捷为被吸收方，其2009年设立不属于发行人自身历史。</x:v>
      </x:c>
      <x:c r="J5" s="161" t="str">
        <x:v>ACCEPTED</x:v>
      </x:c>
      <x:c r="K5" s="161" t="str">
        <x:v>MANUALLY_REVIEWED_CONFIRMED_PRIOR_DECISION</x:v>
      </x:c>
      <x:c r="L5" s="161" t="str">
        <x:v>ACCEPTED</x:v>
      </x:c>
      <x:c r="M5" s="167" t="str">
        <x:v>用户确认已于2026-07-24完成人工复核；确认并接受已有决定：ACCEPTED。</x:v>
      </x:c>
    </x:row>
    <x:row r="6" ht="48" customHeight="1">
      <x:c r="A6" s="198" t="n">
        <x:v>301581</x:v>
      </x:c>
      <x:c r="B6" s="161" t="str">
        <x:v>黄山谷捷</x:v>
      </x:c>
      <x:c r="C6" s="161" t="str">
        <x:v>STRUCTURED_EVENTS</x:v>
      </x:c>
      <x:c r="D6" s="161" t="str">
        <x:v>REV-TRX-301581-0003-01</x:v>
      </x:c>
      <x:c r="E6" s="161" t="str">
        <x:v>TRANSACTION</x:v>
      </x:c>
      <x:c r="F6" s="161" t="str">
        <x:v>TRX-301581-0003-01</x:v>
      </x:c>
      <x:c r="G6" s="161" t="str">
        <x:v>EVT-301581-0003</x:v>
      </x:c>
      <x:c r="H6" s="161"/>
      <x:c r="I6" s="161" t="str">
        <x:v>股权转让未抽取到转让方；股权转让未抽取到受让方</x:v>
      </x:c>
      <x:c r="J6" s="161"/>
      <x:c r="K6" s="161" t="str">
        <x:v>MANUALLY_REVIEWED_ACCEPTED_AS_IS</x:v>
      </x:c>
      <x:c r="L6" s="161" t="str">
        <x:v>ACCEPTED</x:v>
      </x:c>
      <x:c r="M6" s="167" t="str">
        <x:v>用户确认已于2026-07-24完成人工复核；接受当前结果。原文未披露或未能可靠识别的字段保持为空，不新增或推断事实。</x:v>
      </x:c>
    </x:row>
    <x:row r="7" ht="48" customHeight="1">
      <x:c r="A7" s="198" t="n">
        <x:v>301581</x:v>
      </x:c>
      <x:c r="B7" s="161" t="str">
        <x:v>黄山谷捷</x:v>
      </x:c>
      <x:c r="C7" s="161" t="str">
        <x:v>STRUCTURED_EVENTS</x:v>
      </x:c>
      <x:c r="D7" s="161" t="str">
        <x:v>REV-TRX-301581-0006-01</x:v>
      </x:c>
      <x:c r="E7" s="161" t="str">
        <x:v>TRANSACTION</x:v>
      </x:c>
      <x:c r="F7" s="161" t="str">
        <x:v>TRX-301581-0006-01</x:v>
      </x:c>
      <x:c r="G7" s="161" t="str">
        <x:v>EVT-301581-0006</x:v>
      </x:c>
      <x:c r="H7" s="161"/>
      <x:c r="I7" s="161" t="str">
        <x:v>整体变更未抽取到注册资本、折股数或净资产</x:v>
      </x:c>
      <x:c r="J7" s="161"/>
      <x:c r="K7" s="161" t="str">
        <x:v>MANUALLY_REVIEWED_ACCEPTED_AS_IS</x:v>
      </x:c>
      <x:c r="L7" s="161" t="str">
        <x:v>ACCEPTED</x:v>
      </x:c>
      <x:c r="M7" s="167" t="str">
        <x:v>用户确认已于2026-07-24完成人工复核；接受当前结果。原文未披露或未能可靠识别的字段保持为空，不新增或推断事实。</x:v>
      </x:c>
    </x:row>
    <x:row r="8" ht="48" customHeight="1">
      <x:c r="A8" s="198" t="n">
        <x:v>301581</x:v>
      </x:c>
      <x:c r="B8" s="161" t="str">
        <x:v>黄山谷捷</x:v>
      </x:c>
      <x:c r="C8" s="161" t="str">
        <x:v>NUMERIC_VALIDATION</x:v>
      </x:c>
      <x:c r="D8" s="161"/>
      <x:c r="E8" s="161"/>
      <x:c r="F8" s="161"/>
      <x:c r="G8" s="161" t="str">
        <x:v>EVT-301581-0003</x:v>
      </x:c>
      <x:c r="H8" s="161" t="str">
        <x:v>TRX-301581-0003-01</x:v>
      </x:c>
      <x:c r="I8" s="161" t="str">
        <x:v>缺失参与方字段：['transferor_party_ids', 'transferee_party_ids']；不存在的参与方ID：[]</x:v>
      </x:c>
      <x:c r="J8" s="161"/>
      <x:c r="K8" s="161" t="str">
        <x:v>MANUALLY_REVIEWED_ACCEPTED_AS_IS</x:v>
      </x:c>
      <x:c r="L8" s="161" t="str">
        <x:v>ACCEPTED</x:v>
      </x:c>
      <x:c r="M8" s="167" t="str">
        <x:v>用户确认已于2026-07-24完成人工复核；接受当前结果。原文未披露或未能可靠识别的字段保持为空，不新增或推断事实。</x:v>
      </x:c>
    </x:row>
    <x:row r="9" ht="48" customHeight="1">
      <x:c r="A9" s="198" t="n">
        <x:v>301581</x:v>
      </x:c>
      <x:c r="B9" s="161" t="str">
        <x:v>黄山谷捷</x:v>
      </x:c>
      <x:c r="C9" s="161" t="str">
        <x:v>PEVC_PATHS</x:v>
      </x:c>
      <x:c r="D9" s="161" t="str">
        <x:v>REV-MISSING-TRX-301581-0005-01</x:v>
      </x:c>
      <x:c r="E9" s="161" t="str">
        <x:v>MISSING_INVESTOR_FOR_TRANSACTION</x:v>
      </x:c>
      <x:c r="F9" s="161" t="str">
        <x:v>TRX-301581-0005-01</x:v>
      </x:c>
      <x:c r="G9" s="161" t="str">
        <x:v>EVT-301581-0005</x:v>
      </x:c>
      <x:c r="H9" s="161" t="str">
        <x:v>TRX-301581-0005-01</x:v>
      </x:c>
      <x:c r="I9" s="161" t="str">
        <x:v>增资、定向发行或股权转让事件未抽取到可确认的投资方；不得用表头或数值片段代替主体</x:v>
      </x:c>
      <x:c r="J9" s="161"/>
      <x:c r="K9" s="161" t="str">
        <x:v>MANUALLY_REVIEWED_ACCEPTED_AS_IS</x:v>
      </x:c>
      <x:c r="L9" s="161" t="str">
        <x:v>ACCEPTED</x:v>
      </x:c>
      <x:c r="M9" s="167" t="str">
        <x:v>用户确认已于2026-07-24完成人工复核；接受当前结果。原文未披露或未能可靠识别的字段保持为空，不新增或推断事实。</x:v>
      </x:c>
    </x:row>
    <x:row r="10" ht="48" customHeight="1">
      <x:c r="A10" s="198" t="n">
        <x:v>603418</x:v>
      </x:c>
      <x:c r="B10" s="161" t="str">
        <x:v>友升股份</x:v>
      </x:c>
      <x:c r="C10" s="161" t="str">
        <x:v>CANDIDATE_FREEZE</x:v>
      </x:c>
      <x:c r="D10" s="161" t="str">
        <x:v>CEPATCH-603418-CE-603418-0001</x:v>
      </x:c>
      <x:c r="E10" s="161" t="str">
        <x:v>CANDIDATE_REVIEW_PATCH</x:v>
      </x:c>
      <x:c r="F10" s="161" t="str">
        <x:v>CE-603418-0001</x:v>
      </x:c>
      <x:c r="G10" s="161"/>
      <x:c r="H10" s="161"/>
      <x:c r="I10" s="161" t="str">
        <x:v>保留PDF详细披露的1992年12月4日有限公司设立；1992年10月22日为政府批复日期，不是工商设立日期。</x:v>
      </x:c>
      <x:c r="J10" s="161" t="str">
        <x:v>ACCEPTED</x:v>
      </x:c>
      <x:c r="K10" s="161" t="str">
        <x:v>MANUALLY_REVIEWED_CONFIRMED_PRIOR_DECISION</x:v>
      </x:c>
      <x:c r="L10" s="161" t="str">
        <x:v>ACCEPTED</x:v>
      </x:c>
      <x:c r="M10" s="167" t="str">
        <x:v>用户确认已于2026-07-24完成人工复核；确认并接受已有决定：ACCEPTED。</x:v>
      </x:c>
    </x:row>
    <x:row r="11" ht="48" customHeight="1">
      <x:c r="A11" s="198" t="n">
        <x:v>603418</x:v>
      </x:c>
      <x:c r="B11" s="161" t="str">
        <x:v>友升股份</x:v>
      </x:c>
      <x:c r="C11" s="161" t="str">
        <x:v>CANDIDATE_FREEZE</x:v>
      </x:c>
      <x:c r="D11" s="161" t="str">
        <x:v>CEPATCH-603418-CE-603418-0002</x:v>
      </x:c>
      <x:c r="E11" s="161" t="str">
        <x:v>CANDIDATE_REVIEW_PATCH</x:v>
      </x:c>
      <x:c r="F11" s="161" t="str">
        <x:v>CE-603418-0002</x:v>
      </x:c>
      <x:c r="G11" s="161"/>
      <x:c r="H11" s="161"/>
      <x:c r="I11" s="161" t="str">
        <x:v>与已接受的发行人设立事件重复，或属于被吸收方/程序性日期；不进入冻结候选。</x:v>
      </x:c>
      <x:c r="J11" s="161" t="str">
        <x:v>REJECTED_DUPLICATE_OR_WRONG_ENTITY</x:v>
      </x:c>
      <x:c r="K11" s="161" t="str">
        <x:v>MANUALLY_REVIEWED_CONFIRMED_PRIOR_DECISION</x:v>
      </x:c>
      <x:c r="L11" s="161" t="str">
        <x:v>ACCEPTED</x:v>
      </x:c>
      <x:c r="M11" s="167" t="str">
        <x:v>用户确认已于2026-07-24完成人工复核；确认并接受已有决定：REJECTED_DUPLICATE_OR_WRONG_ENTITY。</x:v>
      </x:c>
    </x:row>
    <x:row r="12" ht="48" customHeight="1">
      <x:c r="A12" s="198" t="n">
        <x:v>603418</x:v>
      </x:c>
      <x:c r="B12" s="161" t="str">
        <x:v>友升股份</x:v>
      </x:c>
      <x:c r="C12" s="161" t="str">
        <x:v>STRUCTURED_EVENTS</x:v>
      </x:c>
      <x:c r="D12" s="161" t="str">
        <x:v>REV-TRX-603418-0004-01</x:v>
      </x:c>
      <x:c r="E12" s="161" t="str">
        <x:v>TRANSACTION</x:v>
      </x:c>
      <x:c r="F12" s="161" t="str">
        <x:v>TRX-603418-0004-01</x:v>
      </x:c>
      <x:c r="G12" s="161" t="str">
        <x:v>EVT-603418-0004</x:v>
      </x:c>
      <x:c r="H12" s="161"/>
      <x:c r="I12" s="161" t="str">
        <x:v>增资或发行未抽取到金额、注册资本或股份数量</x:v>
      </x:c>
      <x:c r="J12" s="161"/>
      <x:c r="K12" s="161" t="str">
        <x:v>MANUALLY_REVIEWED_ACCEPTED_AS_IS</x:v>
      </x:c>
      <x:c r="L12" s="161" t="str">
        <x:v>ACCEPTED</x:v>
      </x:c>
      <x:c r="M12" s="167" t="str">
        <x:v>用户确认已于2026-07-24完成人工复核；接受当前结果。原文未披露或未能可靠识别的字段保持为空，不新增或推断事实。</x:v>
      </x:c>
    </x:row>
    <x:row r="13" ht="48" customHeight="1">
      <x:c r="A13" s="198" t="n">
        <x:v>688758</x:v>
      </x:c>
      <x:c r="B13" s="161" t="str">
        <x:v>赛分科技</x:v>
      </x:c>
      <x:c r="C13" s="161" t="str">
        <x:v>STRUCTURED_EVENTS</x:v>
      </x:c>
      <x:c r="D13" s="161" t="str">
        <x:v>REV-TRX-688758-0003-01</x:v>
      </x:c>
      <x:c r="E13" s="161" t="str">
        <x:v>TRANSACTION</x:v>
      </x:c>
      <x:c r="F13" s="161" t="str">
        <x:v>TRX-688758-0003-01</x:v>
      </x:c>
      <x:c r="G13" s="161" t="str">
        <x:v>EVT-688758-0003</x:v>
      </x:c>
      <x:c r="H13" s="161"/>
      <x:c r="I13" s="161" t="str">
        <x:v>股权转让未抽取到受让方</x:v>
      </x:c>
      <x:c r="J13" s="161"/>
      <x:c r="K13" s="161" t="str">
        <x:v>MANUALLY_REVIEWED_ACCEPTED_AS_IS</x:v>
      </x:c>
      <x:c r="L13" s="161" t="str">
        <x:v>ACCEPTED</x:v>
      </x:c>
      <x:c r="M13" s="167" t="str">
        <x:v>用户确认已于2026-07-24完成人工复核；接受当前结果。原文未披露或未能可靠识别的字段保持为空，不新增或推断事实。</x:v>
      </x:c>
    </x:row>
    <x:row r="14" ht="48" customHeight="1">
      <x:c r="A14" s="198" t="n">
        <x:v>688758</x:v>
      </x:c>
      <x:c r="B14" s="161" t="str">
        <x:v>赛分科技</x:v>
      </x:c>
      <x:c r="C14" s="161" t="str">
        <x:v>STRUCTURED_EVENTS</x:v>
      </x:c>
      <x:c r="D14" s="161" t="str">
        <x:v>REV-TRX-688758-0003-02</x:v>
      </x:c>
      <x:c r="E14" s="161" t="str">
        <x:v>TRANSACTION</x:v>
      </x:c>
      <x:c r="F14" s="161" t="str">
        <x:v>TRX-688758-0003-02</x:v>
      </x:c>
      <x:c r="G14" s="161" t="str">
        <x:v>EVT-688758-0003</x:v>
      </x:c>
      <x:c r="H14" s="161"/>
      <x:c r="I14" s="161" t="str">
        <x:v>增资或发行未抽取到金额、注册资本或股份数量</x:v>
      </x:c>
      <x:c r="J14" s="161"/>
      <x:c r="K14" s="161" t="str">
        <x:v>MANUALLY_REVIEWED_ACCEPTED_AS_IS</x:v>
      </x:c>
      <x:c r="L14" s="161" t="str">
        <x:v>ACCEPTED</x:v>
      </x:c>
      <x:c r="M14" s="167" t="str">
        <x:v>用户确认已于2026-07-24完成人工复核；接受当前结果。原文未披露或未能可靠识别的字段保持为空，不新增或推断事实。</x:v>
      </x:c>
    </x:row>
    <x:row r="15" ht="48" customHeight="1">
      <x:c r="A15" s="198" t="n">
        <x:v>688758</x:v>
      </x:c>
      <x:c r="B15" s="161" t="str">
        <x:v>赛分科技</x:v>
      </x:c>
      <x:c r="C15" s="161" t="str">
        <x:v>NUMERIC_VALIDATION</x:v>
      </x:c>
      <x:c r="D15" s="161"/>
      <x:c r="E15" s="161"/>
      <x:c r="F15" s="161"/>
      <x:c r="G15" s="161" t="str">
        <x:v>EVT-688758-0003</x:v>
      </x:c>
      <x:c r="H15" s="161" t="str">
        <x:v>TRX-688758-0003-01</x:v>
      </x:c>
      <x:c r="I15" s="161" t="str">
        <x:v>缺失参与方字段：['transferee_party_ids']；不存在的参与方ID：[]</x:v>
      </x:c>
      <x:c r="J15" s="161"/>
      <x:c r="K15" s="161" t="str">
        <x:v>MANUALLY_REVIEWED_ACCEPTED_AS_IS</x:v>
      </x:c>
      <x:c r="L15" s="161" t="str">
        <x:v>ACCEPTED</x:v>
      </x:c>
      <x:c r="M15" s="167" t="str">
        <x:v>用户确认已于2026-07-24完成人工复核；接受当前结果。原文未披露或未能可靠识别的字段保持为空，不新增或推断事实。</x:v>
      </x:c>
    </x:row>
    <x:row r="16" ht="48" customHeight="1">
      <x:c r="A16" s="198" t="n">
        <x:v>688775</x:v>
      </x:c>
      <x:c r="B16" s="161" t="str">
        <x:v>影石创新</x:v>
      </x:c>
      <x:c r="C16" s="161" t="str">
        <x:v>STRUCTURED_EVENTS</x:v>
      </x:c>
      <x:c r="D16" s="161" t="str">
        <x:v>REV-GAP-688775-0001</x:v>
      </x:c>
      <x:c r="E16" s="161" t="str">
        <x:v>DISCLOSURE_COVERAGE_GAP</x:v>
      </x:c>
      <x:c r="F16" s="161" t="str">
        <x:v>GAP-688775-0001</x:v>
      </x:c>
      <x:c r="G16" s="161"/>
      <x:c r="H16" s="161"/>
      <x:c r="I16" s="161" t="str">
        <x:v>原文披露多个历史事件，但当前冻结范围内未逐项展开。该记录用于防止静默漏项；招股书未披露的单事件信息不得编造。</x:v>
      </x:c>
      <x:c r="J16" s="161" t="str">
        <x:v>ACCEPT_DISCLOSURE_LIMITATION</x:v>
      </x:c>
      <x:c r="K16" s="161" t="str">
        <x:v>MANUALLY_REVIEWED_DISCLOSURE_LIMITATION</x:v>
      </x:c>
      <x:c r="L16" s="161" t="str">
        <x:v>ACCEPT_DISCLOSURE_LIMITATION</x:v>
      </x:c>
      <x:c r="M16" s="167" t="str">
        <x:v>用户确认已于2026-07-24完成人工复核；接受招股书披露限制，不补写未逐项披露的信息。</x:v>
      </x:c>
    </x:row>
    <x:row r="17" ht="48" customHeight="1">
      <x:c r="A17" s="198" t="n">
        <x:v>688775</x:v>
      </x:c>
      <x:c r="B17" s="161" t="str">
        <x:v>影石创新</x:v>
      </x:c>
      <x:c r="C17" s="161" t="str">
        <x:v>STRUCTURED_EVENTS</x:v>
      </x:c>
      <x:c r="D17" s="161" t="str">
        <x:v>REV-TRX-688775-0001-01</x:v>
      </x:c>
      <x:c r="E17" s="161" t="str">
        <x:v>TRANSACTION</x:v>
      </x:c>
      <x:c r="F17" s="161" t="str">
        <x:v>TRX-688775-0001-01</x:v>
      </x:c>
      <x:c r="G17" s="161" t="str">
        <x:v>EVT-688775-0001</x:v>
      </x:c>
      <x:c r="H17" s="161"/>
      <x:c r="I17" s="161" t="str">
        <x:v>设立事件未抽取到注册资本或出资人</x:v>
      </x:c>
      <x:c r="J17" s="161"/>
      <x:c r="K17" s="161" t="str">
        <x:v>MANUALLY_REVIEWED_ACCEPTED_AS_IS</x:v>
      </x:c>
      <x:c r="L17" s="161" t="str">
        <x:v>ACCEPTED</x:v>
      </x:c>
      <x:c r="M17" s="167" t="str">
        <x:v>用户确认已于2026-07-24完成人工复核；接受当前结果。原文未披露或未能可靠识别的字段保持为空，不新增或推断事实。</x:v>
      </x:c>
    </x:row>
    <x:row r="18" ht="48" customHeight="1">
      <x:c r="A18" s="198" t="n">
        <x:v>688775</x:v>
      </x:c>
      <x:c r="B18" s="161" t="str">
        <x:v>影石创新</x:v>
      </x:c>
      <x:c r="C18" s="161" t="str">
        <x:v>STRUCTURED_EVENTS</x:v>
      </x:c>
      <x:c r="D18" s="161" t="str">
        <x:v>REV-TRX-688775-0003-01</x:v>
      </x:c>
      <x:c r="E18" s="161" t="str">
        <x:v>TRANSACTION</x:v>
      </x:c>
      <x:c r="F18" s="161" t="str">
        <x:v>TRX-688775-0003-01</x:v>
      </x:c>
      <x:c r="G18" s="161" t="str">
        <x:v>EVT-688775-0003</x:v>
      </x:c>
      <x:c r="H18" s="161"/>
      <x:c r="I18" s="161" t="str">
        <x:v>股权转让未抽取到转让方；股权转让未抽取到受让方</x:v>
      </x:c>
      <x:c r="J18" s="161"/>
      <x:c r="K18" s="161" t="str">
        <x:v>MANUALLY_REVIEWED_ACCEPTED_AS_IS</x:v>
      </x:c>
      <x:c r="L18" s="161" t="str">
        <x:v>ACCEPTED</x:v>
      </x:c>
      <x:c r="M18" s="167" t="str">
        <x:v>用户确认已于2026-07-24完成人工复核；接受当前结果。原文未披露或未能可靠识别的字段保持为空，不新增或推断事实。</x:v>
      </x:c>
    </x:row>
    <x:row r="19" ht="48" customHeight="1">
      <x:c r="A19" s="198" t="n">
        <x:v>688775</x:v>
      </x:c>
      <x:c r="B19" s="161" t="str">
        <x:v>影石创新</x:v>
      </x:c>
      <x:c r="C19" s="161" t="str">
        <x:v>NUMERIC_VALIDATION</x:v>
      </x:c>
      <x:c r="D19" s="161"/>
      <x:c r="E19" s="161"/>
      <x:c r="F19" s="161"/>
      <x:c r="G19" s="161" t="str">
        <x:v>EVT-688775-0003</x:v>
      </x:c>
      <x:c r="H19" s="161" t="str">
        <x:v>TRX-688775-0003-01</x:v>
      </x:c>
      <x:c r="I19" s="161" t="str">
        <x:v>缺失参与方字段：['transferor_party_ids', 'transferee_party_ids']；不存在的参与方ID：[]</x:v>
      </x:c>
      <x:c r="J19" s="161"/>
      <x:c r="K19" s="161" t="str">
        <x:v>MANUALLY_REVIEWED_ACCEPTED_AS_IS</x:v>
      </x:c>
      <x:c r="L19" s="161" t="str">
        <x:v>ACCEPTED</x:v>
      </x:c>
      <x:c r="M19" s="167" t="str">
        <x:v>用户确认已于2026-07-24完成人工复核；接受当前结果。原文未披露或未能可靠识别的字段保持为空，不新增或推断事实。</x:v>
      </x:c>
    </x:row>
    <x:row r="20" ht="48" customHeight="1">
      <x:c r="A20" s="199" t="n">
        <x:v>688775</x:v>
      </x:c>
      <x:c r="B20" s="169" t="str">
        <x:v>影石创新</x:v>
      </x:c>
      <x:c r="C20" s="169" t="str">
        <x:v>PEVC_PATHS</x:v>
      </x:c>
      <x:c r="D20" s="169" t="str">
        <x:v>REV-MISSING-TRX-688775-0003-01</x:v>
      </x:c>
      <x:c r="E20" s="169" t="str">
        <x:v>MISSING_INVESTOR_FOR_TRANSACTION</x:v>
      </x:c>
      <x:c r="F20" s="169" t="str">
        <x:v>TRX-688775-0003-01</x:v>
      </x:c>
      <x:c r="G20" s="169" t="str">
        <x:v>EVT-688775-0003</x:v>
      </x:c>
      <x:c r="H20" s="169" t="str">
        <x:v>TRX-688775-0003-01</x:v>
      </x:c>
      <x:c r="I20" s="169" t="str">
        <x:v>增资、定向发行或股权转让事件未抽取到可确认的投资方；不得用表头或数值片段代替主体</x:v>
      </x:c>
      <x:c r="J20" s="169"/>
      <x:c r="K20" s="169" t="str">
        <x:v>MANUALLY_REVIEWED_ACCEPTED_AS_IS</x:v>
      </x:c>
      <x:c r="L20" s="169" t="str">
        <x:v>ACCEPTED</x:v>
      </x:c>
      <x:c r="M20" s="170" t="str">
        <x:v>用户确认已于2026-07-24完成人工复核；接受当前结果。原文未披露或未能可靠识别的字段保持为空，不新增或推断事实。</x:v>
      </x:c>
    </x:row>
  </x:sheetData>
  <x:conditionalFormatting sqref="K2:K20">
    <x:cfRule type="expression" dxfId="18" priority="1">
      <x:formula>OR(K2="PASSED",K2="READY",K2="FROZEN",K2="FINAL_JSON_READY")</x:formula>
    </x:cfRule>
    <x:cfRule type="expression" dxfId="19" priority="2">
      <x:formula>OR(K2="FAILED",K2="REJECTED")</x:formula>
    </x:cfRule>
    <x:cfRule type="expression" dxfId="20" priority="3">
      <x:formula>OR(ISNUMBER(SEARCH("REVIEW",K2)),K2="PENDING",K2="OPEN")</x:formula>
    </x:cfRule>
  </x:conditionalFormatting>
  <x:conditionalFormatting sqref="L2:L20">
    <x:cfRule type="expression" dxfId="21" priority="4">
      <x:formula>OR(L2="PASSED",L2="READY",L2="FROZEN",L2="FINAL_JSON_READY")</x:formula>
    </x:cfRule>
    <x:cfRule type="expression" dxfId="22" priority="5">
      <x:formula>OR(L2="FAILED",L2="REJECTED")</x:formula>
    </x:cfRule>
    <x:cfRule type="expression" dxfId="23" priority="6">
      <x:formula>OR(ISNUMBER(SEARCH("REVIEW",L2)),L2="PENDING",L2="OPEN")</x:formula>
    </x:cfRule>
  </x:conditionalFormatting>
  <x:dataValidations count="2">
    <x:dataValidation type="list" sqref="L2:L200">
      <x:formula1>"PENDING,ACCEPTED,REJECTED,ACCEPT_DISCLOSURE_LIMITATION"</x:formula1>
    </x:dataValidation>
    <x:dataValidation type="list" sqref="L2:L20">
      <x:formula1>"ACCEPTED,REJECTED,ACCEPT_DISCLOSURE_LIMITATION"</x:formula1>
    </x:dataValidation>
  </x:dataValidations>
  <x:pageMargins left="0.7" right="0.7" top="0.75" bottom="0.75" header="0.3" footer="0.3"/>
  <x:tableParts count="1">
    <x:tablePart xmlns:r="http://schemas.openxmlformats.org/officeDocument/2006/relationships" r:id="R0f339bfa641c4c1c"/>
  </x:tableParts>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103" t="str">
        <x:v>证券代码</x:v>
      </x:c>
      <x:c r="B1" s="104" t="str">
        <x:v>公司简称</x:v>
      </x:c>
      <x:c r="C1" s="104" t="str">
        <x:v>证据ID</x:v>
      </x:c>
      <x:c r="D1" s="104" t="str">
        <x:v>候选事件ID</x:v>
      </x:c>
      <x:c r="E1" s="104" t="str">
        <x:v>证据角色</x:v>
      </x:c>
      <x:c r="F1" s="104" t="str">
        <x:v>来源类型</x:v>
      </x:c>
      <x:c r="G1" s="104" t="str">
        <x:v>PDF起始页</x:v>
      </x:c>
      <x:c r="H1" s="104" t="str">
        <x:v>PDF结束页</x:v>
      </x:c>
      <x:c r="I1" s="104" t="str">
        <x:v>正文起始页</x:v>
      </x:c>
      <x:c r="J1" s="104" t="str">
        <x:v>正文结束页</x:v>
      </x:c>
      <x:c r="K1" s="104" t="str">
        <x:v>原文行范围</x:v>
      </x:c>
      <x:c r="L1" s="104" t="str">
        <x:v>原文证据</x:v>
      </x:c>
      <x:c r="M1" s="104" t="str">
        <x:v>证据SHA256</x:v>
      </x:c>
      <x:c r="N1" s="105" t="str">
        <x:v>匹配信号</x:v>
      </x:c>
    </x:row>
    <x:row r="2" ht="30" customHeight="1">
      <x:c r="A2" s="197" t="n">
        <x:v>1282</x:v>
      </x:c>
      <x:c r="B2" s="164" t="str">
        <x:v>三联锻造</x:v>
      </x:c>
      <x:c r="C2" s="164" t="str">
        <x:v>EVD-001282-0001-01</x:v>
      </x:c>
      <x:c r="D2" s="164" t="str">
        <x:v>CE-001282-0001</x:v>
      </x:c>
      <x:c r="E2" s="164" t="str">
        <x:v>PRIMARY</x:v>
      </x:c>
      <x:c r="F2" s="164" t="str">
        <x:v>HEADING_SECTION</x:v>
      </x:c>
      <x:c r="G2" s="164" t="n">
        <x:v>30</x:v>
      </x:c>
      <x:c r="H2" s="164" t="n">
        <x:v>32</x:v>
      </x:c>
      <x:c r="I2" s="164" t="str">
        <x:v>29</x:v>
      </x:c>
      <x:c r="J2" s="164" t="str">
        <x:v>31</x:v>
      </x:c>
      <x:c r="K2" s="164" t="str">
        <x:v>[{"pdf_page": 30, "line_start": 21, "line_end": 30}, {"pdf_page": 31, "line_start": 0, "line_end": 37}, {"pdf_page": 32, "line_start": 0, "line_end": 17}]</x:v>
      </x:c>
      <x:c r="L2" s="164" t="str">
        <x:v>（一）有限公司设立情况
1、有限公司设立程序
2004 年 6 月 1 日，孙国奉、孙国敏和张松满就设立三联有限签署了股东协
议书及公司章程，约定三联有限的注册资本500 万元，由孙国奉以机器设备出资
175 万元，占注册资本 35%；孙国敏以货币和机器设备出资 162.5 万元，占注册
资本 32.5%；张松满以货币和机器设备出资 162.5 万元，占注册资本 32.5%。
2、设立时股东出资的验资情况
2004 年 6 月 10 日，安徽平泰会计师事务所出具编号为平泰会验字【2004】
第 395 号《验资报告》，验证截至2004 年 6 月 10 日，三联有限已收到全体股东
缴纳的注册资本合计 500 万元，其中股东孙国奉以实物（机器设备）出资175 万
芜湖三联锻造股份有限公司                                             招股说明书
30
元；股东孙国敏以货币出资 52.5 万元，以实物（机器设备）出资 100 万元，以
代三联有限支付的土地款形成的债权出资 10 万元，共计 162.5 万元；股东张松
满以货币出资 57.5 万元，以实物（机器设备）出资105 万元，共计 162.5 万元。
2004 年 6 月 18 日，三联有限设立经芜湖市工商行政管理局核准，并取得注
册号为 3402012102584 的《营业执照》。
三联有限设立时出资结构如下：
股东名称 注册资本（万元） 出资比例（%） 出资方式 出资状态
孙国奉 175.00 35.00 实物（机器设备） 实缴出资
孙国敏
52.50
32.50
货币
实缴出资 100.00 实物（机器设备）
10.00 债权（代付土地款）
张松满
57.50
32.50
货币
实缴出资
105.00 实物（机器设备）
合计 500.00 100.00 / /
注：张松满系孙国奉之妹孙娟丽的配偶。
3、货币资金置换实物出资的情况
2006 年 9 月 28 日，三联有限召开股东会并决议，同意因生产工艺及设备质
量问题退回三联有限股东用以出资的机器设备，以货币方式置换该实物出资。三
联有限设立时，该机器设备作为实物出资未履行评估作价程序，不符合当时有效
的《公司法》（1999 年）中第二十四条的规定，存在出资程序瑕疵。股东以现
金方式置换该实物出资后，该出资程序瑕疵已消除。
2007 年 11 月 26 日，安徽平泰会计师事务所出具编号为平泰会验字【2007】
第 377 号《验资报告》，验证截至 2007 年 11 月 26 日，三联有限已收到全体股
东 380 万元货币出资，置换原设立时股东投入的实物资产。其中孙国奉货币出资
175万元，孙国敏货币出资 100 万元，张松满货币出资 105 万元。三联有限的注
册资本仍为 500 万元。
本次货币出资置换完成后，三联有限的出资结构如下：
股东名称 注册资本（万元） 出资比例（%） 出资方式 出资状态
孙国奉 175.00 35.00 货币 实缴出资
芜湖三联锻造股份有限公司                                             招股说明书
31
股东名称 注册资本（万元） 出资比例（%） 出资方式 出资状态
孙国敏
152.50
32.50
货币
实缴出资
10.00 债权 （代付土地款）
张松满 162.50 32.50 货币 实缴出资
合计 500.00 100.00 / /
2021 年 5 月 8 日，芜湖市市场监督管理局针对上述货币资金置换出具了 《情
况说明》 ，确认上述设备出资未经评估的瑕疵情形已主动消除且已超出行政处罚
法规定的行政处罚期限。
2021 年 5 月 20 日，容诚会计师出具编号为容诚专字【2021】241Z0033 号的
《验资复核报告》，对前述验资事项进行了复核验证，验证置换实物资产的货币
资金 380 万元已投入三联有限，出资足额、真实；债权出资 10 万元已投入三联
有限，出资足额、真实。</x:v>
      </x:c>
      <x:c r="M2" s="164" t="str">
        <x:v>126f5756706b0cc98b877c6b4025c3da629c9fd4af34354f6b106c34a25d7b2c</x:v>
      </x:c>
      <x:c r="N2" s="165" t="str">
        <x:v>["event_heading", "matched_term:regex:（一）有限公司设立", "matched_term:有限公司设立情况", "matched_term:regex:有限公司设立情况", "matched_term:有限公司设立", "service_provider_supporting_evidence"]</x:v>
      </x:c>
    </x:row>
    <x:row r="3" ht="30" customHeight="1">
      <x:c r="A3" s="198" t="n">
        <x:v>1282</x:v>
      </x:c>
      <x:c r="B3" s="161" t="str">
        <x:v>三联锻造</x:v>
      </x:c>
      <x:c r="C3" s="161" t="str">
        <x:v>EVD-001282-0003-01</x:v>
      </x:c>
      <x:c r="D3" s="161" t="str">
        <x:v>CE-001282-0003</x:v>
      </x:c>
      <x:c r="E3" s="161" t="str">
        <x:v>PRIMARY</x:v>
      </x:c>
      <x:c r="F3" s="161" t="str">
        <x:v>HEADING_SECTION</x:v>
      </x:c>
      <x:c r="G3" s="161" t="n">
        <x:v>32</x:v>
      </x:c>
      <x:c r="H3" s="161" t="n">
        <x:v>34</x:v>
      </x:c>
      <x:c r="I3" s="161" t="str">
        <x:v>31</x:v>
      </x:c>
      <x:c r="J3" s="161" t="str">
        <x:v>33</x:v>
      </x:c>
      <x:c r="K3" s="161" t="str">
        <x:v>[{"pdf_page": 32, "line_start": 18, "line_end": 33}, {"pdf_page": 33, "line_start": 0, "line_end": 25}, {"pdf_page": 34, "line_start": 0, "line_end": 1}]</x:v>
      </x:c>
      <x:c r="L3" s="161" t="str">
        <x:v>（二）股份公司设立情况
1、发行人设立的程序
2018 年 10 月 11 日，三联有限召开股东会并作出决议，全体股东一致同意
三联有限整体变更设立股份有限公司。根据华普天健会计师事务所（特殊普通合
伙）出具编号为会审字【2018】5737 号《审计报告》，截至2018 年 7 月 31 日，
三联有限经审计的净资产总计为 308,886,389.01 元，按照1：0.2639 的比例折股，
折合为股份有限公司的股份总数为 81,500,000 股，每股面值 1 元，共计
81,500,000.00元，其余 227,386,389.01 元计入资本公积。
根据中水致远资产评估有限公司出具的中水致远评报字【2018】第 020281
号《芜湖三联锻造有限公司拟整体变更设立股份有限公司项目资产评估报告》，
截至 2018 年 7 月 31 日，公司净资产评估价值为 37,526.27 万元。
2018 年 10 月 11 日，孙国奉、张一衡、孙国敏、孙仁豪、高新同华等 5 名
股东作为发起人签署了《发起人协议》，一致同意由三联有限整体变更设立股份
公司，股份公司的注册资本为 8,150 万元。
2018 年 10 月 27 日，公司召开创立大会暨第一次临时股东大会并作出决议，
全体股东（发起人）一致同意通过关于整体变更为股份公司的相关议案。
芜湖三联锻造股份有限公司                                             招股说明书
32
2018 年 10 月 27 日，华普天健会计师事务所（特殊普通合伙）对公司的出
资情况进行了审验，并出具会验字【2018】6175号《验资报告》，验证截至2018
年 10 月 27 日，公司已收到全体股东以净资产折股的方式缴纳的注册资本 8,150
万元。
2018 年 11 月 26 日，三联有限整体变更为股份有限公司经芜湖市工商行政
管理局核准，并取得统一社会信用代码为91340200762794150A的 《营业执照》 。
2、发行人对股份改制折股净资产的调整与复核
2021 年 5 月 15 日，容诚会计师出具容诚专字【2021】241Z0034号《芜湖三
联锻造股份有限公司股改净资产出资到位情况专项复核的报告》及《关于芜湖三
联锻造股份有限公司前期会计差错事项对股改基准日净资产影响的说明》 ，因前
期会计差错更正，将三联有限股改基准日净资产由 308,886,389.01 元调整为
298,285,000.14 元。调整后，截至 2018 年 7 月 31 日，三联有限经审计的净资产
总计为 298,285,000.14 元，按照 1：0.2732 折股，折合为股份有限公司的股份总
数为 81,500,000 股，每股面值 1 元，共计 81,500,000.00 元，调整后净资产超出
股本部分 216,785,000.14 元计入股份公司的资本公积。上述调整事项对股改时公
司净资产出资情况未产生出资不实的影响。
2021 年 5 月 15 日，中水致远资产评估有限公司出具《关于芜湖三联锻造股
份有限公司前期会计差错更正对股改基准日评估净资产影响的说明》 ，将三联有
限截至 2018 年 7 月 31 日净资产的评估价值调整为 36,433.51 万元。
2021 年 5 月 15 日，发行人召开了第一届董事会第十七次会议，同意公司对
上述会计差错进行更正。发行人独立董事就前期会计差错更正发表独立意见，同
意发行人的会计处理方式，同意发行人根据调整后的股改净资产进行折股。2021
年 5 月 31 日，发行人召开2021 年第二次临时股东大会，同意公司对上述会计差
错进行更正。
芜湖三联锻造股份有限公司                                             招股说明书
33</x:v>
      </x:c>
      <x:c r="M3" s="161" t="str">
        <x:v>fd585eee3537fb24bbfaeb8be304ea46ebc4147a7d29b9b06393140ae6d94706</x:v>
      </x:c>
      <x:c r="N3" s="167" t="str">
        <x:v>["event_heading", "matched_term:股份公司设立情况", "matched_term:regex:股份公司设立情况", "service_provider_supporting_evidence"]</x:v>
      </x:c>
    </x:row>
    <x:row r="4" ht="30" customHeight="1">
      <x:c r="A4" s="198" t="n">
        <x:v>1282</x:v>
      </x:c>
      <x:c r="B4" s="161" t="str">
        <x:v>三联锻造</x:v>
      </x:c>
      <x:c r="C4" s="161" t="str">
        <x:v>EVD-001282-0003-02</x:v>
      </x:c>
      <x:c r="D4" s="161" t="str">
        <x:v>CE-001282-0003</x:v>
      </x:c>
      <x:c r="E4" s="161" t="str">
        <x:v>SUPPORTING</x:v>
      </x:c>
      <x:c r="F4" s="161" t="str">
        <x:v>HEADING_SECTION</x:v>
      </x:c>
      <x:c r="G4" s="161" t="n">
        <x:v>33</x:v>
      </x:c>
      <x:c r="H4" s="161" t="n">
        <x:v>33</x:v>
      </x:c>
      <x:c r="I4" s="161" t="str">
        <x:v>32</x:v>
      </x:c>
      <x:c r="J4" s="161" t="str">
        <x:v>32</x:v>
      </x:c>
      <x:c r="K4" s="161" t="str">
        <x:v>[{"pdf_page": 33, "line_start": 6, "line_end": 7}]</x:v>
      </x:c>
      <x:c r="L4" s="161" t="str">
        <x:v>2018 年 11 月 26 日，三联有限整体变更为股份有限公司经芜湖市工商行政
管理局核准，并取得统一社会信用代码为91340200762794150A的 《营业执照》 。</x:v>
      </x:c>
      <x:c r="M4" s="161" t="str">
        <x:v>30f1444da513f0e3a697c91dff9c866f8304efaddcfa5391478feac566effe77</x:v>
      </x:c>
      <x:c r="N4" s="167" t="str">
        <x:v>["event_heading", "matched_term:整体变更为股份有限公司", "matched_term:整体变更"]</x:v>
      </x:c>
    </x:row>
    <x:row r="5" ht="30" customHeight="1">
      <x:c r="A5" s="198" t="n">
        <x:v>1282</x:v>
      </x:c>
      <x:c r="B5" s="161" t="str">
        <x:v>三联锻造</x:v>
      </x:c>
      <x:c r="C5" s="161" t="str">
        <x:v>EVD-001282-0003-03</x:v>
      </x:c>
      <x:c r="D5" s="161" t="str">
        <x:v>CE-001282-0003</x:v>
      </x:c>
      <x:c r="E5" s="161" t="str">
        <x:v>SUPPORTING</x:v>
      </x:c>
      <x:c r="F5" s="161" t="str">
        <x:v>DATED_FALLBACK</x:v>
      </x:c>
      <x:c r="G5" s="161" t="n">
        <x:v>35</x:v>
      </x:c>
      <x:c r="H5" s="161" t="n">
        <x:v>36</x:v>
      </x:c>
      <x:c r="I5" s="161" t="str">
        <x:v>34</x:v>
      </x:c>
      <x:c r="J5" s="161" t="str">
        <x:v>35</x:v>
      </x:c>
      <x:c r="K5" s="161" t="str">
        <x:v>[{"pdf_page": 35, "line_start": 3, "line_end": 9}, {"pdf_page": 36, "line_start": 0, "line_end": 13}]</x:v>
      </x:c>
      <x:c r="L5" s="161" t="str">
        <x:v>2、发行人报告期内的股本演变情况
三联有限自设立至报告期期初（2019 年初）进行了四次股权转让和四次增
资，并于 2018 年 11 月整体变更为股份公司，具体情况请参见申报文件“4-3 发
行人关于公司设立以来股本演变情况的说明及其董事、监事、高级管理人员的确
认意见”。
报告期内，发行人的股本和股东变化情况如下：
2019 年 12 月，股份有限公司第一次增资
芜湖三联锻造股份有限公司                                             招股说明书
35
（1）增资情况
2019 年 12 月 4 日，公司召开 2019 年第二次临时股东大会，审议通过了《关
于公司增资扩股的议案》，议案决定拟将公司的注册资本由 8,150 万元增加至
8,498万元。新增注册资本由新股东三联合伙以每股 4.50 元的价格认购，其中 348
万元计入注册资本，剩余 1,218 万元计入资本公积。
本次增资时三联合伙合伙人的岗位及合伙份额情况如下：
序号 姓名 合伙人类型 岗位 认缴出资额
（万元）
出资比例
（%） 出资方式 出资期限
1 孙国奉 普通合伙人 三联锻造董
事长、 总经理 382.50 24.43 货币 2019.12.31之前</x:v>
      </x:c>
      <x:c r="M5" s="161" t="str">
        <x:v>0dd859fd328406cd4a3a01088b20774640792ae729f783130f64efa082399444</x:v>
      </x:c>
      <x:c r="N5" s="167" t="str">
        <x:v>["dated_fallback", "matched_term:整体变更"]</x:v>
      </x:c>
    </x:row>
    <x:row r="6" ht="30" customHeight="1">
      <x:c r="A6" s="198" t="n">
        <x:v>1282</x:v>
      </x:c>
      <x:c r="B6" s="161" t="str">
        <x:v>三联锻造</x:v>
      </x:c>
      <x:c r="C6" s="161" t="str">
        <x:v>EVD-001282-0004-01</x:v>
      </x:c>
      <x:c r="D6" s="161" t="str">
        <x:v>CE-001282-0004</x:v>
      </x:c>
      <x:c r="E6" s="161" t="str">
        <x:v>PRIMARY</x:v>
      </x:c>
      <x:c r="F6" s="161" t="str">
        <x:v>HEADING_SECTION</x:v>
      </x:c>
      <x:c r="G6" s="161" t="n">
        <x:v>35</x:v>
      </x:c>
      <x:c r="H6" s="161" t="n">
        <x:v>36</x:v>
      </x:c>
      <x:c r="I6" s="161" t="str">
        <x:v>34</x:v>
      </x:c>
      <x:c r="J6" s="161" t="str">
        <x:v>35</x:v>
      </x:c>
      <x:c r="K6" s="161" t="str">
        <x:v>[{"pdf_page": 35, "line_start": 9, "line_end": 9}, {"pdf_page": 36, "line_start": 0, "line_end": 21}]</x:v>
      </x:c>
      <x:c r="L6" s="161" t="str">
        <x:v>2019 年 12 月，股份有限公司第一次增资
芜湖三联锻造股份有限公司                                             招股说明书
35
（1）增资情况
2019 年 12 月 4 日，公司召开 2019 年第二次临时股东大会，审议通过了《关
于公司增资扩股的议案》，议案决定拟将公司的注册资本由 8,150 万元增加至
8,498万元。新增注册资本由新股东三联合伙以每股 4.50 元的价格认购，其中 348
万元计入注册资本，剩余 1,218 万元计入资本公积。
本次增资时三联合伙合伙人的岗位及合伙份额情况如下：
序号 姓名 合伙人类型 岗位 认缴出资额
（万元）
出资比例
（%） 出资方式 出资期限
1 孙国奉 普通合伙人 三联锻造董
事长、 总经理 382.50 24.43 货币 2019.12.31之前
2 韩良 有限合伙人 三联锻造董
事、 副总经理 360.00 22.99 货币 2019.12.31之前
3 孟江峰 有限合伙人 三联锻造副
总经理 135.00 8.62 货币 2019.12.31之前
4 杨成 有限合伙人
三联锻造财
务总监、 董事
会秘书</x:v>
      </x:c>
      <x:c r="M6" s="161" t="str">
        <x:v>c078634a467c4bf886d5021efccc82b15caa052bac25efe1a70be1a014e3c9de</x:v>
      </x:c>
      <x:c r="N6" s="167" t="str">
        <x:v>["event_heading", "matched_term:第一次增资", "matched_term:增资"]</x:v>
      </x:c>
    </x:row>
    <x:row r="7" ht="30" customHeight="1">
      <x:c r="A7" s="198" t="n">
        <x:v>1282</x:v>
      </x:c>
      <x:c r="B7" s="161" t="str">
        <x:v>三联锻造</x:v>
      </x:c>
      <x:c r="C7" s="161" t="str">
        <x:v>EVD-001282-0004-02</x:v>
      </x:c>
      <x:c r="D7" s="161" t="str">
        <x:v>CE-001282-0004</x:v>
      </x:c>
      <x:c r="E7" s="161" t="str">
        <x:v>SUPPORTING</x:v>
      </x:c>
      <x:c r="F7" s="161" t="str">
        <x:v>DATED_FALLBACK</x:v>
      </x:c>
      <x:c r="G7" s="161" t="n">
        <x:v>39</x:v>
      </x:c>
      <x:c r="H7" s="161" t="n">
        <x:v>40</x:v>
      </x:c>
      <x:c r="I7" s="161" t="str">
        <x:v>38</x:v>
      </x:c>
      <x:c r="J7" s="161" t="str">
        <x:v>39</x:v>
      </x:c>
      <x:c r="K7" s="161" t="str">
        <x:v>[{"pdf_page": 39, "line_start": 15, "line_end": 29}, {"pdf_page": 40, "line_start": 0, "line_end": 5}]</x:v>
      </x:c>
      <x:c r="L7" s="161" t="str">
        <x:v>报告》，按照公司截至 2019 年 12 月 31 日的股权公允价值的评估对前次股份支
付公允价值进行调整，将股份支付授予的公允价值由 6.48 元/股调整为 7.15 元/
股。2019 年 12 月 4 日，公司股东大会审议通过了《关于公司增资扩股的议案》，
发行人选择该时点作为授予日， 按照7 年确认等待期 （以2019 年 12 月 4 日起算，
按照公司上市申报计划 2023 年 12 月上市，含上市后锁定期 3 年），根据中水致
远股权评估公允价值 7.15 元/股与 4.50 元/股的价差按期分摊计入当期费用。
公司在等待期内每个资产负债表日对预计可行权数量作出合理估计，确认相
应的股权激励费用。等待期内若公司估计成功完成首次公开发行股票并上市且股
票锁定期（自公司股票上市之日起三年）的时点发生变化，需根据重估时点确定
等待期，截至当期累计应确认的股权激励费用扣减前期累计已确认金额，作为当
期应确认的股权激励费用。
本次股份支付费用按照 7 年等待期确认为管理费用和资本公积，并将确认的
股份支付的费用计入经常性损益。对应会计处理为：
期间 会计科目 借方金额（元） 贷方金额（元）
2022年度 管理费用-股份支付 962,795.80 -
芜湖三联锻造股份有限公司                                             招股说明书
39
期间 会计科目 借方金额（元） 贷方金额（元）
资本公积 - 962,795.80
2021年度
管理费用-股份支付 929,944.49 -</x:v>
      </x:c>
      <x:c r="M7" s="161" t="str">
        <x:v>c9f339424994f0fe5b7edef4df2596504e689b9272cdeecd87cbe9eb423f4954</x:v>
      </x:c>
      <x:c r="N7" s="167" t="str">
        <x:v>["dated_fallback", "matched_term:增资扩股", "matched_term:增资"]</x:v>
      </x:c>
    </x:row>
    <x:row r="8" ht="30" customHeight="1">
      <x:c r="A8" s="198" t="n">
        <x:v>301581</x:v>
      </x:c>
      <x:c r="B8" s="161" t="str">
        <x:v>黄山谷捷</x:v>
      </x:c>
      <x:c r="C8" s="161" t="str">
        <x:v>EVD-301581-0001-01</x:v>
      </x:c>
      <x:c r="D8" s="161" t="str">
        <x:v>CE-301581-0001</x:v>
      </x:c>
      <x:c r="E8" s="161" t="str">
        <x:v>PRIMARY</x:v>
      </x:c>
      <x:c r="F8" s="161" t="str">
        <x:v>PAGE_TIMELINE_RECOVERY</x:v>
      </x:c>
      <x:c r="G8" s="161" t="n">
        <x:v>41</x:v>
      </x:c>
      <x:c r="H8" s="161" t="n">
        <x:v>41</x:v>
      </x:c>
      <x:c r="I8" s="161" t="str">
        <x:v>1-1-40</x:v>
      </x:c>
      <x:c r="J8" s="161" t="str">
        <x:v>1-1-40</x:v>
      </x:c>
      <x:c r="K8" s="161" t="str">
        <x:v>[{"pdf_page": 41, "line_start": 3, "line_end": 18}]</x:v>
      </x:c>
      <x:c r="L8" s="161" t="str">
        <x:v>2012年6月，谷捷有限
增资
2022年9月，整体变更
为股份公司
注册资本1,000万元，由昆山谷捷出资设立
昆山谷捷将其所持谷捷有限78%、11%、11%的股权
分别转让给黄山供销集团、张俊武、周斌，转让
后黄山供销集团、张俊武、周斌分别持有78%、
11%、11%的股权</x:v>
      </x:c>
      <x:c r="M8" s="161" t="str">
        <x:v>589fd037279ade6f4fc2693e1f9a23f67c5bc94469a1df9e591d68e925a3bc69</x:v>
      </x:c>
      <x:c r="N8" s="167" t="str">
        <x:v>["page_timeline_recovery", "generic_capital_setup_row", "recovered_pdf_page:41"]</x:v>
      </x:c>
    </x:row>
    <x:row r="9" ht="30" customHeight="1">
      <x:c r="A9" s="198" t="n">
        <x:v>301581</x:v>
      </x:c>
      <x:c r="B9" s="161" t="str">
        <x:v>黄山谷捷</x:v>
      </x:c>
      <x:c r="C9" s="161" t="str">
        <x:v>EVD-301581-0002-01</x:v>
      </x:c>
      <x:c r="D9" s="161" t="str">
        <x:v>CE-301581-0002</x:v>
      </x:c>
      <x:c r="E9" s="161" t="str">
        <x:v>PRIMARY</x:v>
      </x:c>
      <x:c r="F9" s="161" t="str">
        <x:v>HEADING_SECTION</x:v>
      </x:c>
      <x:c r="G9" s="161" t="n">
        <x:v>41</x:v>
      </x:c>
      <x:c r="H9" s="161" t="n">
        <x:v>41</x:v>
      </x:c>
      <x:c r="I9" s="161" t="str">
        <x:v>1-1-40</x:v>
      </x:c>
      <x:c r="J9" s="161" t="str">
        <x:v>1-1-40</x:v>
      </x:c>
      <x:c r="K9" s="161" t="str">
        <x:v>[{"pdf_page": 41, "line_start": 7, "line_end": 11}]</x:v>
      </x:c>
      <x:c r="L9" s="161" t="str">
        <x:v>2021年4月，吸收合并
2021年11月，第一次
增资
2022年5月，第二次
增资</x:v>
      </x:c>
      <x:c r="M9" s="161" t="str">
        <x:v>aec1708d01688dddb195409f123d16bcb6594a826ff8d8fe99f87256003745ad</x:v>
      </x:c>
      <x:c r="N9" s="167" t="str">
        <x:v>["event_heading", "matched_term:吸收合并"]</x:v>
      </x:c>
    </x:row>
    <x:row r="10" ht="30" customHeight="1">
      <x:c r="A10" s="198" t="n">
        <x:v>301581</x:v>
      </x:c>
      <x:c r="B10" s="161" t="str">
        <x:v>黄山谷捷</x:v>
      </x:c>
      <x:c r="C10" s="161" t="str">
        <x:v>EVD-301581-0002-02</x:v>
      </x:c>
      <x:c r="D10" s="161" t="str">
        <x:v>CE-301581-0002</x:v>
      </x:c>
      <x:c r="E10" s="161" t="str">
        <x:v>SUPPORTING</x:v>
      </x:c>
      <x:c r="F10" s="161" t="str">
        <x:v>HEADING_SECTION</x:v>
      </x:c>
      <x:c r="G10" s="161" t="n">
        <x:v>43</x:v>
      </x:c>
      <x:c r="H10" s="161" t="n">
        <x:v>43</x:v>
      </x:c>
      <x:c r="I10" s="161" t="str">
        <x:v>1-1-42</x:v>
      </x:c>
      <x:c r="J10" s="161" t="str">
        <x:v>1-1-42</x:v>
      </x:c>
      <x:c r="K10" s="161" t="str">
        <x:v>[{"pdf_page": 43, "line_start": 2, "line_end": 11}]</x:v>
      </x:c>
      <x:c r="L10" s="161" t="str">
        <x:v>3、2021 年 4 月，吸收合并
2020 年 12 月 24 日，谷捷有限及昆山谷捷召开股东会，同意谷捷有限吸收
合并昆山谷捷，合并后谷捷有限存续，昆山谷捷注销；同日，谷捷有限与昆山谷
捷签订《合并协议》。
2020 年 12 月 25 日，谷捷有限与昆山谷捷在《中国商报》联合刊登了吸收
合并公告，按照《公司法》规定履行了债权人告知等义务。公告期满，未有债权
人要求谷捷有限清偿债务或要求谷捷有限提供相应担保。
2020 年 12 月 30 日，黄山市供销社、黄山供销集团出具《关于同意昆山谷
捷股权转让以及黄山谷捷吸收合并昆山谷捷的批复》（黄供集团[2020]80 号），
同意谷捷有限吸收合并昆山谷捷，吸收合并后昆山谷捷注销，谷捷有限存续。</x:v>
      </x:c>
      <x:c r="M10" s="161" t="str">
        <x:v>fac80a14a4eca26112040ee8999c3e7b73cc20af0abc1d693553bfc90f588b95</x:v>
      </x:c>
      <x:c r="N10" s="167" t="str">
        <x:v>["event_heading", "matched_term:吸收合并"]</x:v>
      </x:c>
    </x:row>
    <x:row r="11" ht="30" customHeight="1">
      <x:c r="A11" s="198" t="n">
        <x:v>301581</x:v>
      </x:c>
      <x:c r="B11" s="161" t="str">
        <x:v>黄山谷捷</x:v>
      </x:c>
      <x:c r="C11" s="161" t="str">
        <x:v>EVD-301581-0002-03</x:v>
      </x:c>
      <x:c r="D11" s="161" t="str">
        <x:v>CE-301581-0002</x:v>
      </x:c>
      <x:c r="E11" s="161" t="str">
        <x:v>SUPPORTING</x:v>
      </x:c>
      <x:c r="F11" s="161" t="str">
        <x:v>HEADING_SECTION</x:v>
      </x:c>
      <x:c r="G11" s="161" t="n">
        <x:v>43</x:v>
      </x:c>
      <x:c r="H11" s="161" t="n">
        <x:v>44</x:v>
      </x:c>
      <x:c r="I11" s="161" t="str">
        <x:v>1-1-42</x:v>
      </x:c>
      <x:c r="J11" s="161" t="str">
        <x:v>1-1-43</x:v>
      </x:c>
      <x:c r="K11" s="161" t="str">
        <x:v>[{"pdf_page": 43, "line_start": 12, "line_end": 25}, {"pdf_page": 44, "line_start": 0, "line_end": 17}]</x:v>
      </x:c>
      <x:c r="L11" s="161" t="str">
        <x:v>2021 年 4 月 7 日，谷捷有限召开股东会，吸收合并后谷捷有限的注册资本
变更为 1,200 万元，其中黄山供销集团出资 936 万元，张俊武出资 132 万元，周
斌出资 132 万元；同日，谷捷有限与昆山谷捷再次签订《吸收合并协议》，进一
步明确了双方权利义务等条款。
2021 年 4 月 13 日， 谷捷有限取得了黄山市徽州区市场监督管理局为其换发
的营业执照（统一社会信用代码：913410045986552970）。
2021 年 8 月 20 日，国家税务总局苏州昆山经济技术开发区税务局出具《清
税证明》 （昆开税税企清[2021]9296 号），确认昆山谷捷税务事项已结清。2021
年 9 月 7 日， 昆山市市场监督管理局出具 《准予注销登记通知书》 （ （05831101zc）
公司注销[2021]第 09070003 号），核准昆山谷捷注销。
2022 年 11 月 16 日， 中审众环会计师出具 《验资报告》 （众环验字 （2022）
0110095 号），确认截至 2021 年 9 月 7 日，谷捷有限已收到全体股东新增实收
资本 200 万元，由股东以被合并方昆山谷捷的账面净资产出资。
本次吸收合并前后，谷捷有限、昆山谷捷的股东及各出资比例如下：
黄山谷捷股份有限公司                                                              招股说明书
1-1-43
单位：万元
序
号 股东名称
吸收合并前 吸收合并后
谷捷有限 昆山谷捷 谷捷有限
出资额 出资比例 出资额 出资比例 出资额 出资比例
1 黄山供销集团 780.00 78.00% 156.00 78.00% 936.00 78.00%
2 张俊武 110.00 11.00% 22.00 11.00% 132.00 11.00%
3 周斌 110.00 11.00% 22.00 11.00% 132.00 11.00%
合计 1,000.00 100.00% 200.00 100.00% 1,200.00 100.00%
本次吸收合并系同一股权结构下的公司架构调整， 吸收合并当时未对双方净
资产进行评估。2022 年 11 月 14 日，中联国信进行了追溯评估并出具了《资产
评估报告》 （皖中联国信评报字（2022）第 303-1 号、 皖中联国信评报字（2022）
第 303-2 号），确认截至2021 年 3 月 31 日，昆山谷捷净资产账面价值为 380.94
万元，评估价值为 380.94 万元，谷捷有限净资产账面价值为 2,912.30 万元，评
估价值为 9,651.75 万元。</x:v>
      </x:c>
      <x:c r="M11" s="161" t="str">
        <x:v>543bbe0fdcee3ff56bc89c63e53c936d000bba6b2f7d8e08e9e459cc06f5f282</x:v>
      </x:c>
      <x:c r="N11" s="167" t="str">
        <x:v>["event_heading", "matched_term:吸收合并"]</x:v>
      </x:c>
    </x:row>
    <x:row r="12" ht="30" customHeight="1">
      <x:c r="A12" s="198" t="n">
        <x:v>301581</x:v>
      </x:c>
      <x:c r="B12" s="161" t="str">
        <x:v>黄山谷捷</x:v>
      </x:c>
      <x:c r="C12" s="161" t="str">
        <x:v>EVD-301581-0003-01</x:v>
      </x:c>
      <x:c r="D12" s="161" t="str">
        <x:v>CE-301581-0003</x:v>
      </x:c>
      <x:c r="E12" s="161" t="str">
        <x:v>PRIMARY</x:v>
      </x:c>
      <x:c r="F12" s="161" t="str">
        <x:v>HEADING_SECTION</x:v>
      </x:c>
      <x:c r="G12" s="161" t="n">
        <x:v>42</x:v>
      </x:c>
      <x:c r="H12" s="161" t="n">
        <x:v>43</x:v>
      </x:c>
      <x:c r="I12" s="161" t="str">
        <x:v>1-1-41</x:v>
      </x:c>
      <x:c r="J12" s="161" t="str">
        <x:v>1-1-42</x:v>
      </x:c>
      <x:c r="K12" s="161" t="str">
        <x:v>[{"pdf_page": 42, "line_start": 2, "line_end": 22}, {"pdf_page": 43, "line_start": 0, "line_end": 1}]</x:v>
      </x:c>
      <x:c r="L12" s="161" t="str">
        <x:v>2、2021 年 4 月，第一次股权转让
2020 年 12 月 30 日，黄山市供销社、黄山供销集团出具《关于同意昆山谷
捷股权转让以及黄山谷捷吸收合并昆山谷捷的批复》（黄供集团[2020]80 号），
同意昆山谷捷将其所持谷捷有限 78%、11%、11%的股权以零对价分别转让给黄
山供销集团、张俊武、周斌。
2021 年 4 月 3 日，谷捷有限股东昆山谷捷作出股东决定，同意昆山谷捷进
行股权转让， 受让方系昆山谷捷全体股东， 各股东按持有昆山谷捷的股权比例受
让谷捷有限股权。同日，昆山谷捷分别与黄山供销集团、张俊武、周斌签署了股
权转让相关协议。
转让前后，谷捷有限的股权结构图对比如下：
2021 年 4 月 7 日，谷捷有限取得了黄山市徽州区市场监督管理局为其换发
的营业执照（统一社会信用代码：913410045986552970）。
本次股权转让后，谷捷有限的股权结构如下：
序号 股东姓名/名称 出资额（万元） 出资比例（%）
1 黄山供销集团 780.00 78.00
2 张俊武 110.00 11.00
3 周斌 110.00 11.00
合 计 1,000.00 100.00
本次股权转让系同一股权结构下的公司架构调整， 股权转让完成后， 黄山供
销集团、 张俊武、 周斌对谷捷有限的持股方式由间接持股变更为直接持股， 本次
股权转让价格为 0 元。
黄山谷捷股份有限公司                                                              招股说明书
1-1-42</x:v>
      </x:c>
      <x:c r="M12" s="161" t="str">
        <x:v>b134175791801050571a285d9c1fa5c1d014dd6851a51259a376034f83e99a74</x:v>
      </x:c>
      <x:c r="N12" s="167" t="str">
        <x:v>["event_heading", "matched_term:第一次股权转让", "matched_term:股权转让"]</x:v>
      </x:c>
    </x:row>
    <x:row r="13" ht="30" customHeight="1">
      <x:c r="A13" s="198" t="n">
        <x:v>301581</x:v>
      </x:c>
      <x:c r="B13" s="161" t="str">
        <x:v>黄山谷捷</x:v>
      </x:c>
      <x:c r="C13" s="161" t="str">
        <x:v>EVD-301581-0004-01</x:v>
      </x:c>
      <x:c r="D13" s="161" t="str">
        <x:v>CE-301581-0004</x:v>
      </x:c>
      <x:c r="E13" s="161" t="str">
        <x:v>PRIMARY</x:v>
      </x:c>
      <x:c r="F13" s="161" t="str">
        <x:v>HEADING_SECTION</x:v>
      </x:c>
      <x:c r="G13" s="161" t="n">
        <x:v>44</x:v>
      </x:c>
      <x:c r="H13" s="161" t="n">
        <x:v>45</x:v>
      </x:c>
      <x:c r="I13" s="161" t="str">
        <x:v>1-1-43</x:v>
      </x:c>
      <x:c r="J13" s="161" t="str">
        <x:v>1-1-44</x:v>
      </x:c>
      <x:c r="K13" s="161" t="str">
        <x:v>[{"pdf_page": 44, "line_start": 18, "line_end": 32}, {"pdf_page": 45, "line_start": 0, "line_end": 15}]</x:v>
      </x:c>
      <x:c r="L13" s="161" t="str">
        <x:v>4、2021 年 11 月，第一次增资，增资至 1,714.2857 万元
2021 年 7 月 31 日，黄山江南新科苑资产评估事务所（特殊普通合伙）出具
《资产评估报告》（新科苑评报字（2021）第 0112 号），确认截至 2020 年 12
月 31 日，谷捷有限股东全部权益价值为 26,461.86 万元。2022 年 11 月 25 日，
中联国信出具《评估复核报告》 （皖中联国信复核字（2022）第 002 号），认为
评估结果基本反映了资产在评估基准日的市场价值。
2021 年 9 月 17 日，黄山市供销社、黄山供销集团出具《关于黄山谷捷散热
科技有限公司增资扩股有关事项的批复》 （黄供集团[2021]52 号），同意谷捷有
限增资扩股，由赛格高技术和上汽科技向谷捷有限增资。
2021 年 9 月 18 日，赛格高技术、上汽科技与黄山供销集团、张俊武、周斌
及谷捷有限签署 《黄山谷捷散热科技有限公司增资协议》 ，约定谷捷有限增加注
册资本 514.2857 万元， 其中赛格高技术认缴 462.8571 万元、 上汽科技认缴 51.4286
万元， 增资价格为22.42 元/注册资本， 出资方式为货币。各方在增资协议中约定
了回购条款及其他股东特殊权利条款，相关内容及解除情况详见本节之 “十一、
发行人股本情况”之“（十）本次发行前涉及的对赌协议及其解除情况”。
黄山谷捷股份有限公司                                                              招股说明书
1-1-44
2021 年 9 月 19 日，谷捷有限召开股东会，同意上述增资扩股事项。
2021 年 11 月 11 日，谷捷有限取得了黄山市市场监督管理局为其换发的营
业执照（统一社会信用代码：913410045986552970）。
2022 年 1 月 17 日，中审众环会计师出具《验资报告》（众环验字（2022）
0110017 号），确认截至 2021 年 12 月 31 日，谷捷有限已收到股东赛格高技术
和上汽科技缴纳的实收资本 514.2857 万元，出资方式为货币。
本次增资完成后，公司股权结构如下：
序号 股东姓名/名称 出资额（万元） 出资比例（%）
1 黄山供销集团 936.0000 54.60
2 赛格高技术 462.8571 27.00
3 张俊武 132.0000 7.70
4 周斌 132.0000 7.70
5 上汽科技 51.4286 3.00
合 计 1,714.2857 100.00</x:v>
      </x:c>
      <x:c r="M13" s="161" t="str">
        <x:v>96c85c4fde2291a030b4ae031d239797b9d474de41972b3b6f2951b12817a959</x:v>
      </x:c>
      <x:c r="N13" s="167" t="str">
        <x:v>["event_heading", "matched_term:第一次增资", "matched_term:增资至", "matched_term:增资", "service_provider_supporting_evidence"]</x:v>
      </x:c>
    </x:row>
    <x:row r="14" ht="30" customHeight="1">
      <x:c r="A14" s="198" t="n">
        <x:v>301581</x:v>
      </x:c>
      <x:c r="B14" s="161" t="str">
        <x:v>黄山谷捷</x:v>
      </x:c>
      <x:c r="C14" s="161" t="str">
        <x:v>EVD-301581-0005-01</x:v>
      </x:c>
      <x:c r="D14" s="161" t="str">
        <x:v>CE-301581-0005</x:v>
      </x:c>
      <x:c r="E14" s="161" t="str">
        <x:v>PRIMARY</x:v>
      </x:c>
      <x:c r="F14" s="161" t="str">
        <x:v>HEADING_SECTION</x:v>
      </x:c>
      <x:c r="G14" s="161" t="n">
        <x:v>45</x:v>
      </x:c>
      <x:c r="H14" s="161" t="n">
        <x:v>45</x:v>
      </x:c>
      <x:c r="I14" s="161" t="str">
        <x:v>1-1-44</x:v>
      </x:c>
      <x:c r="J14" s="161" t="str">
        <x:v>1-1-44</x:v>
      </x:c>
      <x:c r="K14" s="161" t="str">
        <x:v>[{"pdf_page": 45, "line_start": 16, "line_end": 27}]</x:v>
      </x:c>
      <x:c r="L14" s="161" t="str">
        <x:v>5、2022 年 5 月，第二次增资，增资至 1,804.5113 万元
2022 年 4 月 28 日， 中联国信出具 《资产评估报告》 （皖中联国信评报字（2022）
第 171 号），确认截至 2021 年 12 月 31 日，谷捷有限股东全部权益的市场价值
为 40,370 万元。
2022 年 5 月 17 日，黄山市供销社、黄山供销集团出具《关于黄山谷捷散热
科技有限公司员工股权激励实施方案的批复》 （黄供集团[2022]27 号），同意谷
捷有限实施员工股权激励。
2022 年 5 月 20 日，谷捷有限召开股东会，同意将公司的注册资本由
1,714.2857 万元增至 1,804.5113 万元，新增注册资本 90.2256 万元由员工持股平
台黄山佳捷全额认缴。
2022 年 5 月 24 日，谷捷有限与黄山佳捷签署《黄山谷捷散热科技有限公司
增资扩股协议》，新增注册资本 90.2256 万元由黄山佳捷全额认缴，增资价格为</x:v>
      </x:c>
      <x:c r="M14" s="161" t="str">
        <x:v>344ce9eac0651c0107104286858614d2451761542618063d9cd5fc4a196588d1</x:v>
      </x:c>
      <x:c r="N14" s="167" t="str">
        <x:v>["event_heading", "matched_term:第二次增资", "matched_term:增资至", "matched_term:增资"]</x:v>
      </x:c>
    </x:row>
    <x:row r="15" ht="30" customHeight="1">
      <x:c r="A15" s="198" t="n">
        <x:v>301581</x:v>
      </x:c>
      <x:c r="B15" s="161" t="str">
        <x:v>黄山谷捷</x:v>
      </x:c>
      <x:c r="C15" s="161" t="str">
        <x:v>EVD-301581-0006-01</x:v>
      </x:c>
      <x:c r="D15" s="161" t="str">
        <x:v>CE-301581-0006</x:v>
      </x:c>
      <x:c r="E15" s="161" t="str">
        <x:v>PRIMARY</x:v>
      </x:c>
      <x:c r="F15" s="161" t="str">
        <x:v>HEADING_SECTION</x:v>
      </x:c>
      <x:c r="G15" s="161" t="n">
        <x:v>46</x:v>
      </x:c>
      <x:c r="H15" s="161" t="n">
        <x:v>46</x:v>
      </x:c>
      <x:c r="I15" s="161" t="str">
        <x:v>1-1-45</x:v>
      </x:c>
      <x:c r="J15" s="161" t="str">
        <x:v>1-1-45</x:v>
      </x:c>
      <x:c r="K15" s="161" t="str">
        <x:v>[{"pdf_page": 46, "line_start": 16, "line_end": 18}]</x:v>
      </x:c>
      <x:c r="L15" s="161" t="str">
        <x:v>2022 年 9 月，谷捷有限整体变更为股份公司，具体情况见本节之“二、发
行人的设立情况、 报告期内的股本和股东变化情况”之“（一） 发行人的设立情
况”之“2、股份公司设立情况”。</x:v>
      </x:c>
      <x:c r="M15" s="161" t="str">
        <x:v>2d7af4562a2985f2c633a59d78c7c345310f7bce575901e2b03bfc9d5540c278</x:v>
      </x:c>
      <x:c r="N15" s="167" t="str">
        <x:v>["event_heading", "matched_term:整体变更"]</x:v>
      </x:c>
    </x:row>
    <x:row r="16" ht="30" customHeight="1">
      <x:c r="A16" s="198" t="n">
        <x:v>301581</x:v>
      </x:c>
      <x:c r="B16" s="161" t="str">
        <x:v>黄山谷捷</x:v>
      </x:c>
      <x:c r="C16" s="161" t="str">
        <x:v>EVD-301581-0006-02</x:v>
      </x:c>
      <x:c r="D16" s="161" t="str">
        <x:v>CE-301581-0006</x:v>
      </x:c>
      <x:c r="E16" s="161" t="str">
        <x:v>SUPPORTING</x:v>
      </x:c>
      <x:c r="F16" s="161" t="str">
        <x:v>HEADING_SECTION</x:v>
      </x:c>
      <x:c r="G16" s="161" t="n">
        <x:v>46</x:v>
      </x:c>
      <x:c r="H16" s="161" t="n">
        <x:v>46</x:v>
      </x:c>
      <x:c r="I16" s="161" t="str">
        <x:v>1-1-45</x:v>
      </x:c>
      <x:c r="J16" s="161" t="str">
        <x:v>1-1-45</x:v>
      </x:c>
      <x:c r="K16" s="161" t="str">
        <x:v>[{"pdf_page": 46, "line_start": 15, "line_end": 15}]</x:v>
      </x:c>
      <x:c r="L16" s="161" t="str">
        <x:v>6、2022 年 9 月，整体变更为股份公司</x:v>
      </x:c>
      <x:c r="M16" s="161" t="str">
        <x:v>15655f2021035531ef3eced23a43a340c9dceb2c78344e96c59c7568464dcb64</x:v>
      </x:c>
      <x:c r="N16" s="167" t="str">
        <x:v>["event_heading", "matched_term:整体变更"]</x:v>
      </x:c>
    </x:row>
    <x:row r="17" ht="30" customHeight="1">
      <x:c r="A17" s="198" t="n">
        <x:v>603418</x:v>
      </x:c>
      <x:c r="B17" s="161" t="str">
        <x:v>友升股份</x:v>
      </x:c>
      <x:c r="C17" s="161" t="str">
        <x:v>EVD-603418-0001-01</x:v>
      </x:c>
      <x:c r="D17" s="161" t="str">
        <x:v>CE-603418-0001</x:v>
      </x:c>
      <x:c r="E17" s="161" t="str">
        <x:v>PRIMARY</x:v>
      </x:c>
      <x:c r="F17" s="161" t="str">
        <x:v>HEADING_SECTION</x:v>
      </x:c>
      <x:c r="G17" s="161" t="n">
        <x:v>41</x:v>
      </x:c>
      <x:c r="H17" s="161" t="n">
        <x:v>42</x:v>
      </x:c>
      <x:c r="I17" s="161" t="str">
        <x:v>40</x:v>
      </x:c>
      <x:c r="J17" s="161" t="str">
        <x:v>41</x:v>
      </x:c>
      <x:c r="K17" s="161" t="str">
        <x:v>[{"pdf_page": 41, "line_start": 21, "line_end": 23}, {"pdf_page": 42, "line_start": 0, "line_end": 17}]</x:v>
      </x:c>
      <x:c r="L17" s="161" t="str">
        <x:v>（一）有限责任公司的设立情况
友升有限成立于 1992 年 12 月 4 日，由徐泾工业公司、友升太平洋美国共
同出资设立的中外合资有限责任公司，注册资本为 400 万美元。
上海友升铝业股份有限公司                                                          招股说明书
41
1992 年 10 月 22 日，青浦县人民政府出具《青浦县人民政府关于中美合资
经营 “上海友升铝业有限公司 ”合同、章程的批复》 （青府贸（ 1992）289
号） ，批复同意设立友升有限等相关事项。1992 年 11 月 26 日，上海市人民政府
向 友 升 有 限 核 发 《 中 华 人 民 共 和 国 外 商 投 资 企 业 批 准 证 书 》 （ 外 经 贸 沪 字
[1992]1636 号） 。
1992 年 12 月 4 日，友升有限取得《企业法人营业执照》 （注册号为工商企
合字第 02590 号） ，友升有限正式成立。
友升有限设立时股东及出资情况如下：
序号 股东名称 出资额（万美元） 出资比例
1 徐泾工业公司 240.00 60.00%
2 友升太平洋美国 160.00 40.00%
合计 400.00 100.00%
上海青浦会计师事务所分别于 1993 年 8 月 20 日、1996 年 12 月 31 日出具
资志字第 93088 号《验资报告》和 96338 号《验资报告》 ，确认友升有限400 万
美元注册资金已全部到位。其中，徐泾工业公司以土地使用权出资 99.12 万美
元，以货币出资 140.88 万美元；友升太平洋美国以货币出资 160.00 万美元。</x:v>
      </x:c>
      <x:c r="M17" s="161" t="str">
        <x:v>8e1a2049889eb88e05d97b33052397ccc0d75123d7f874e8f7f459d75fad5066</x:v>
      </x:c>
      <x:c r="N17" s="167" t="str">
        <x:v>["event_heading", "matched_term:regex:有限责任公司的设立情况", "service_provider_supporting_evidence"]</x:v>
      </x:c>
    </x:row>
    <x:row r="18" ht="30" customHeight="1">
      <x:c r="A18" s="198" t="n">
        <x:v>603418</x:v>
      </x:c>
      <x:c r="B18" s="161" t="str">
        <x:v>友升股份</x:v>
      </x:c>
      <x:c r="C18" s="161" t="str">
        <x:v>EVD-603418-0003-01</x:v>
      </x:c>
      <x:c r="D18" s="161" t="str">
        <x:v>CE-603418-0003</x:v>
      </x:c>
      <x:c r="E18" s="161" t="str">
        <x:v>PRIMARY</x:v>
      </x:c>
      <x:c r="F18" s="161" t="str">
        <x:v>HEADING_SECTION</x:v>
      </x:c>
      <x:c r="G18" s="161" t="n">
        <x:v>42</x:v>
      </x:c>
      <x:c r="H18" s="161" t="n">
        <x:v>43</x:v>
      </x:c>
      <x:c r="I18" s="161" t="str">
        <x:v>41</x:v>
      </x:c>
      <x:c r="J18" s="161" t="str">
        <x:v>42</x:v>
      </x:c>
      <x:c r="K18" s="161" t="str">
        <x:v>[{"pdf_page": 42, "line_start": 18, "line_end": 28}, {"pdf_page": 43, "line_start": 0, "line_end": 24}]</x:v>
      </x:c>
      <x:c r="L18" s="161" t="str">
        <x:v>（二）股份有限公司的设立情况
公司由上海友升铝业有限公司整体变更设立。
根据会计师出具的《审计报告》 ，友升有限截至2020 年 5 月 31 日的净资产
为 40,482.37 万元。
沃克森评估于 2020 年 7 月 23 日出具了沃克森评报字（2020）第 1025 号
《上海友升铝业有限公司拟变更设立股份公司涉 及的上海友升铝业有限公司净
资产资产评估报告》 ，根据该评估报告，截至2020 年 5 月 31 日，友升有限的净
资产评估值为 48,659.65 万元。
2020 年 7 月 27 日，友升有限股东会作出决议，同意根据会计师出具的《审
计报告》 ，以友升有限截至2020 年 5 月 31 日的净资产 40,482.37 万元按 3.3735:1
的比例折合股本 12,000.00 万元（每股面值 1.00 元） ，净资产超过股本部分全部
上海友升铝业股份有限公司                                                          招股说明书
42
计入资本公积，将友升有限整体变更设立为上海友升铝业股份有限公司。友升
有限的全部资产、负债、业务及人员都由变更后的股份公司承继。
根据会计师出具的《验资报告》 ，对股份公司发起人的全部出资予以确认。
2020 年 9 月 9 日，公司在上海市市场监督管理局登记注册并领取《营业执
照》 （统一社会信用代码9131011860721585X1） ，友升股份正式成立。
公司整体变更设立时的股权结构如下：
序号 股东名称 股份（万股） 持股比例
1 泽升贸易 8,976.00 74.80%
2 达晨创联基金 1,800.00 15.00%
3 共青城泽升 1,020.00 8.50%
4 罗世兵 204.00 1.70%
合计 12,000.00 100.00%
根据会计师出具的《上海友升铝业股份有限公司前期差错更正对股改基准
日净资产影响的说明》 ，对整体变更基准日财务报表进行了追溯调整。因收入跨
期、成本调整等事项，导致友升有限于整体变更基准日的净资产调减 44.93 万
元，调整后的净资产为 40,437.44 万元。沃克森评估于 2023 年 11 月 18 日出具
了《评估结果变动情况的专项说明》 ，友升有限截至2020 年 5 月 31 日的净资产
评估值调整为 48,620.33 万元。由于经调整后净资产大于整体变更后股本数
12,000.00 万元，上述调整事项不影响公司整体变更时的注册资本充实情况。
2023 年 11 月，公司分别召开了第二届董事会第三次会议及 2023 年第三次
临时股东大会，审议通过《上海友升铝业股份有限公司关于追溯调整股改基准
日净资产及折股比例的议案》 ，同意对友升有限整体变更基准日的净资产折股方
案进行调整。</x:v>
      </x:c>
      <x:c r="M18" s="161" t="str">
        <x:v>39daed528b3ae8273b4f964135e2faf4745e38e14b2e4e1e84853df9e411cc73</x:v>
      </x:c>
      <x:c r="N18" s="167" t="str">
        <x:v>["event_heading", "matched_term:股份有限公司的设立情况", "matched_term:regex:股份有限公司的设立情况"]</x:v>
      </x:c>
    </x:row>
    <x:row r="19" ht="30" customHeight="1">
      <x:c r="A19" s="198" t="n">
        <x:v>603418</x:v>
      </x:c>
      <x:c r="B19" s="161" t="str">
        <x:v>友升股份</x:v>
      </x:c>
      <x:c r="C19" s="161" t="str">
        <x:v>EVD-603418-0003-02</x:v>
      </x:c>
      <x:c r="D19" s="161" t="str">
        <x:v>CE-603418-0003</x:v>
      </x:c>
      <x:c r="E19" s="161" t="str">
        <x:v>SUPPORTING</x:v>
      </x:c>
      <x:c r="F19" s="161" t="str">
        <x:v>HEADING_SECTION</x:v>
      </x:c>
      <x:c r="G19" s="161" t="n">
        <x:v>44</x:v>
      </x:c>
      <x:c r="H19" s="161" t="n">
        <x:v>44</x:v>
      </x:c>
      <x:c r="I19" s="161" t="str">
        <x:v>43</x:v>
      </x:c>
      <x:c r="J19" s="161" t="str">
        <x:v>43</x:v>
      </x:c>
      <x:c r="K19" s="161" t="str">
        <x:v>[{"pdf_page": 44, "line_start": 7, "line_end": 8}]</x:v>
      </x:c>
      <x:c r="L19" s="161" t="str">
        <x:v>2、2020 年 9 月，整体变更为股份有限公司，股本增加至 12,000.00 万元
友升股份设立情况参见本节“二/（二）股份有限公司的设立情况”之说明。</x:v>
      </x:c>
      <x:c r="M19" s="161" t="str">
        <x:v>5090e1dd21e2922e0b724094d514789f5c5ec0f81bf8b9160c6ab36e982aadb6</x:v>
      </x:c>
      <x:c r="N19" s="167" t="str">
        <x:v>["event_heading", "matched_term:整体变更为股份有限公司", "matched_term:整体变更"]</x:v>
      </x:c>
    </x:row>
    <x:row r="20" ht="30" customHeight="1">
      <x:c r="A20" s="198" t="n">
        <x:v>603418</x:v>
      </x:c>
      <x:c r="B20" s="161" t="str">
        <x:v>友升股份</x:v>
      </x:c>
      <x:c r="C20" s="161" t="str">
        <x:v>EVD-603418-0004-01</x:v>
      </x:c>
      <x:c r="D20" s="161" t="str">
        <x:v>CE-603418-0004</x:v>
      </x:c>
      <x:c r="E20" s="161" t="str">
        <x:v>PRIMARY</x:v>
      </x:c>
      <x:c r="F20" s="161" t="str">
        <x:v>HEADING_SECTION</x:v>
      </x:c>
      <x:c r="G20" s="161" t="n">
        <x:v>44</x:v>
      </x:c>
      <x:c r="H20" s="161" t="n">
        <x:v>45</x:v>
      </x:c>
      <x:c r="I20" s="161" t="str">
        <x:v>43</x:v>
      </x:c>
      <x:c r="J20" s="161" t="str">
        <x:v>44</x:v>
      </x:c>
      <x:c r="K20" s="161" t="str">
        <x:v>[{"pdf_page": 44, "line_start": 10, "line_end": 29}, {"pdf_page": 45, "line_start": 0, "line_end": 1}]</x:v>
      </x:c>
      <x:c r="L20" s="161" t="str">
        <x:v>2020 年 9 月，金浦临港基金、金浦科创基金和上海骁墨与本次增资前公司
股东泽升贸易、罗世兵、共青城泽升、达晨创联基金共同签署《投资协议》 ，约
定金浦临港基金、金浦科创基金和上海骁墨分别以 7,000 万元、3,000 万元和
1,500 万元认购发行人新增注册资本 840 万元、360 万元和 180 万元。
2020 年 9 月 27 日，经友升股份 2020 年第二次临时股东大会审议通过，友
升股份股本由 12,000 万元增加至 13,380 万元，新增注册资本由金浦临港基金出
资 840 万元、金浦科创基金出资 360 万元、上海骁墨出资 180 万元，出资方式
均为货币资金，新增股份的认购价格为 8.3333 元/股。
2020 年 9 月 30 日，友升股份完成了上述增资的工商变更登记手续，并取得
了由上海市市场监督管理局换发的《营业执照》 。
本次增资后，友升股份的股权结构如下：
序号 股东名称 股份（万股） 持股比例
1 泽升贸易 8,976.00 67.09%
2 达晨创联基金 1,800.00 13.45%
3 共青城泽升 1,020.00 7.62%
4 罗世兵 204.00 1.52%
5 金浦临港基金 840.00 6.28%
6 金浦科创基金 360.00 2.69%
7 上海骁墨 180.00 1.35%
合计 13,380.00 100.00%
上海友升铝业股份有限公司                                                          招股说明书
44</x:v>
      </x:c>
      <x:c r="M20" s="161" t="str">
        <x:v>77c13c60da4a7e82b739966c56f30fdb1983ca81683f1c40aa2ece06cd37f57f</x:v>
      </x:c>
      <x:c r="N20" s="167" t="str">
        <x:v>["event_heading", "matched_term:增资"]</x:v>
      </x:c>
    </x:row>
    <x:row r="21" ht="30" customHeight="1">
      <x:c r="A21" s="198" t="n">
        <x:v>603418</x:v>
      </x:c>
      <x:c r="B21" s="161" t="str">
        <x:v>友升股份</x:v>
      </x:c>
      <x:c r="C21" s="161" t="str">
        <x:v>EVD-603418-0004-02</x:v>
      </x:c>
      <x:c r="D21" s="161" t="str">
        <x:v>CE-603418-0004</x:v>
      </x:c>
      <x:c r="E21" s="161" t="str">
        <x:v>SUPPORTING</x:v>
      </x:c>
      <x:c r="F21" s="161" t="str">
        <x:v>HEADING_SECTION</x:v>
      </x:c>
      <x:c r="G21" s="161" t="n">
        <x:v>44</x:v>
      </x:c>
      <x:c r="H21" s="161" t="n">
        <x:v>44</x:v>
      </x:c>
      <x:c r="I21" s="161" t="str">
        <x:v>43</x:v>
      </x:c>
      <x:c r="J21" s="161" t="str">
        <x:v>43</x:v>
      </x:c>
      <x:c r="K21" s="161" t="str">
        <x:v>[{"pdf_page": 44, "line_start": 9, "line_end": 9}]</x:v>
      </x:c>
      <x:c r="L21" s="161" t="str">
        <x:v>3、2020 年 9 月，增资至 13,380.00 万元</x:v>
      </x:c>
      <x:c r="M21" s="161" t="str">
        <x:v>fa37a2d2dea5dd154e5552515cc89c2e20c150da498bdc25b81904e28fb82a6f</x:v>
      </x:c>
      <x:c r="N21" s="167" t="str">
        <x:v>["event_heading", "matched_term:增资至", "matched_term:增资"]</x:v>
      </x:c>
    </x:row>
    <x:row r="22" ht="30" customHeight="1">
      <x:c r="A22" s="198" t="n">
        <x:v>603418</x:v>
      </x:c>
      <x:c r="B22" s="161" t="str">
        <x:v>友升股份</x:v>
      </x:c>
      <x:c r="C22" s="161" t="str">
        <x:v>EVD-603418-0005-01</x:v>
      </x:c>
      <x:c r="D22" s="161" t="str">
        <x:v>CE-603418-0005</x:v>
      </x:c>
      <x:c r="E22" s="161" t="str">
        <x:v>PRIMARY</x:v>
      </x:c>
      <x:c r="F22" s="161" t="str">
        <x:v>HEADING_SECTION</x:v>
      </x:c>
      <x:c r="G22" s="161" t="n">
        <x:v>45</x:v>
      </x:c>
      <x:c r="H22" s="161" t="n">
        <x:v>46</x:v>
      </x:c>
      <x:c r="I22" s="161" t="str">
        <x:v>44</x:v>
      </x:c>
      <x:c r="J22" s="161" t="str">
        <x:v>45</x:v>
      </x:c>
      <x:c r="K22" s="161" t="str">
        <x:v>[{"pdf_page": 45, "line_start": 2, "line_end": 31}, {"pdf_page": 46, "line_start": 0, "line_end": 13}]</x:v>
      </x:c>
      <x:c r="L22" s="161" t="str">
        <x:v>4、2022 年 12 月，增资至 14,480.1333 万元
2022 年 12 月 4 日，友升股份召开第一届董事会第十六次会议，审议通过了
《 关 于 上 海 友 升 铝 业 股 份 有 限 公 司 增 资 的 议 案 》 ， 同 意 增 加 注 册 资 本 至
14,480.1333 万元，新增股份的认购价格为 33.6323 元/股，新增股本的认购情况
如下：
序号 认购人 认购数量（万股） 认购金额（万元） 出资方式
1 杉晖创业 297.3333 10,000.00 货币
2 上海联炻 297.3333 10,000.00 货币
3 安吉璞颉 148.6667 5,000.00 货币
4 财投晨源 89.2000 3,000.00 货币
5 深圳达晨创程 86.5984 2,912.50 货币
6 杉创智至 59.4667 2,000.00 货币
7 杭州达晨创程 51.9590 1,747.50 货币
8 达晨财汇 29.7333 1,000.00 货币
9 达晨财智 29.7333 1,000.00 货币
10 财智创赢 10.1093 340.00 货币
合计 1,100.1333 37,000.00 /
2022 年 12 月 19 日，友升股份召开 2022 年第六次临时股东大会，审议通过
了前述议案。
2022 年 12 月 19 日，友升股份完成了上述增资的工商变更登记手续，并取
得了由上海市市场监督管理局换发的《营业执照》 。
本次增资后，友升股份的股权结构如下：
序号 股东名称 股份（万股） 持股比例
1 泽升贸易 8,976.0000 61.99%
2 达晨创联基金 1,800.0000 12.43%
3 共青城泽升 1,020.0000 7.04%
4 金浦临港基金 840.0000 5.80%
5 金浦科创基金 360.0000 2.49%
6 杉晖创业 297.3333 2.05%
7 上海联炻 297.3333 2.05%
上海友升铝业股份有限公司                                                          招股说明书
45
序号 股东名称 股份（万股） 持股比例
8 罗世兵 204.0000 1.41%
9 上海骁墨 180.0000 1.24%
10 安吉璞颉 148.6667 1.03%
11 财投晨源 89.2000 0.62%
12 深圳达晨创程 86.5984 0.60%
13 杉创智至 59.4667 0.41%
14 杭州达晨创程 51.9590 0.36%
15 达晨财汇 29.7333 0.21%
16 达晨财智 29.7333 0.21%
17 财智创赢 10.1093 0.07%
合计 14,480.1333 100.00%</x:v>
      </x:c>
      <x:c r="M22" s="161" t="str">
        <x:v>88f9c125f31163a622e72ae80bfee7b044dfabe45b9d60227ae56a5269f414cb</x:v>
      </x:c>
      <x:c r="N22" s="167" t="str">
        <x:v>["event_heading", "matched_term:增资至", "matched_term:增资"]</x:v>
      </x:c>
    </x:row>
    <x:row r="23" ht="30" customHeight="1">
      <x:c r="A23" s="198" t="n">
        <x:v>603418</x:v>
      </x:c>
      <x:c r="B23" s="161" t="str">
        <x:v>友升股份</x:v>
      </x:c>
      <x:c r="C23" s="161" t="str">
        <x:v>EVD-603418-0006-01</x:v>
      </x:c>
      <x:c r="D23" s="161" t="str">
        <x:v>CE-603418-0006</x:v>
      </x:c>
      <x:c r="E23" s="161" t="str">
        <x:v>PRIMARY</x:v>
      </x:c>
      <x:c r="F23" s="161" t="str">
        <x:v>HEADING_SECTION</x:v>
      </x:c>
      <x:c r="G23" s="161" t="n">
        <x:v>47</x:v>
      </x:c>
      <x:c r="H23" s="161" t="n">
        <x:v>47</x:v>
      </x:c>
      <x:c r="I23" s="161" t="str">
        <x:v>46</x:v>
      </x:c>
      <x:c r="J23" s="161" t="str">
        <x:v>46</x:v>
      </x:c>
      <x:c r="K23" s="161" t="str">
        <x:v>[{"pdf_page": 47, "line_start": 73, "line_end": 75}]</x:v>
      </x:c>
      <x:c r="L23" s="161" t="str">
        <x:v>（五）发行人历史沿革中存在股份代持的情况
发行人历史上存在股份代持的情况，形成原因、演变情况和解除过程如
下：</x:v>
      </x:c>
      <x:c r="M23" s="161" t="str">
        <x:v>f42524795f7fa7f510c8d95b578b03dcb939314a609b5367285c8512bcc3f44a</x:v>
      </x:c>
      <x:c r="N23" s="167" t="str">
        <x:v>["event_heading", "matched_term:历史沿革中存在股份代持", "matched_term:股份代持"]</x:v>
      </x:c>
    </x:row>
    <x:row r="24" ht="30" customHeight="1">
      <x:c r="A24" s="198" t="n">
        <x:v>688758</x:v>
      </x:c>
      <x:c r="B24" s="161" t="str">
        <x:v>赛分科技</x:v>
      </x:c>
      <x:c r="C24" s="161" t="str">
        <x:v>EVD-688758-0001-01</x:v>
      </x:c>
      <x:c r="D24" s="161" t="str">
        <x:v>CE-688758-0001</x:v>
      </x:c>
      <x:c r="E24" s="161" t="str">
        <x:v>PRIMARY</x:v>
      </x:c>
      <x:c r="F24" s="161" t="str">
        <x:v>HEADING_SECTION</x:v>
      </x:c>
      <x:c r="G24" s="161" t="n">
        <x:v>50</x:v>
      </x:c>
      <x:c r="H24" s="161" t="n">
        <x:v>51</x:v>
      </x:c>
      <x:c r="I24" s="161" t="str">
        <x:v>1-1-49</x:v>
      </x:c>
      <x:c r="J24" s="161" t="str">
        <x:v>1-1-50</x:v>
      </x:c>
      <x:c r="K24" s="161" t="str">
        <x:v>[{"pdf_page": 50, "line_start": 21, "line_end": 31}, {"pdf_page": 51, "line_start": 0, "line_end": 21}]</x:v>
      </x:c>
      <x:c r="L24" s="161" t="str">
        <x:v>（一）公司前身赛分有限的设立情况
2009 年 1 月 23 日，江苏省苏州工商行政管理局出具《名称预先登记核准通
知书》（名称预先登记[2009]第 01230006 号），预先核准企业名称为“苏州赛
分科技有限公司”。
2009 年 2 月 6 日，赛分有限（筹）股东黄学英、沈建林、潘鼎签署了《苏
州赛分科技有限公司章程》 ，载明赛分有限注册资本 10,000,000 元， 以货币出资。
首期实缴注册资本 4,000,000 元，剩余注册资本约定于 2011 年 3 月 10 日前实缴
完毕。
2009 年 3 月 11 日，苏州众勤会计师事务所有限公司出具苏众勤（2009）第
2047 号《验资报告》，截至 2009 年 3 月 10 日，赛分有限（筹）已收到股东以
货币资金缴付的注册资本（实收资本）合计 4,000,000 元。
苏州赛分科技股份有限公司                            首次公开发行股票并在科创板上市招股说明书
1-1-50
2010 年 6 月 17 日，苏州建信会计师事务所有限公司出具建信内验（2010）
字第 153 号《验资报告》，截至2010 年 6 月 17 日，赛分有限已收到黄学英第二
期缴纳的注册资本（实收资本）合计 1,000,000 元整，全部以货币出资。
2011 年 4 月 19 日，苏州建信会计师事务所有限公司出具建信内验（2011）
字第 065 号《验资报告》，截至2011 年 4 月 18 日，赛分有限已收到黄学英、沈
建林、潘鼎第三期缴纳的注册资本（实收资本）合计 5,000,000 元整，全部以货
币出资。至此，赛分有限注册资本实缴完毕。
2009 年 3 月 16 日，赛分有限（筹）就设立事项办理完毕工商登记手续，取
得了江苏省苏州工业园区工商行政管理局核发的《企业法人营业执照》。
公司设立时的股权结构情况如下：
序号 股东姓名 认缴出资额
（万元）
实缴出资额
（万元）
出资比例
（%） 出资方式
1 黄学英 900.00 360.00 90.00 货币
2 沈建林 50.00 20.00 5.00 货币
3 潘鼎 50.00 20.00 5.00 货币
合计 1,000.00 400.00 100.00 /</x:v>
      </x:c>
      <x:c r="M24" s="161" t="str">
        <x:v>9e3780da9e3df3069c1fdfe0fa5e122ac79f5c91139e2510bf0fdd4901bfb716</x:v>
      </x:c>
      <x:c r="N24" s="167" t="str">
        <x:v>["event_heading", "matched_term:regex:公司前身赛分有限的设立情况", "matched_term:regex:公司前身赛分有限的设立情况", "service_provider_supporting_evidence"]</x:v>
      </x:c>
    </x:row>
    <x:row r="25" ht="30" customHeight="1">
      <x:c r="A25" s="198" t="n">
        <x:v>688758</x:v>
      </x:c>
      <x:c r="B25" s="161" t="str">
        <x:v>赛分科技</x:v>
      </x:c>
      <x:c r="C25" s="161" t="str">
        <x:v>EVD-688758-0002-01</x:v>
      </x:c>
      <x:c r="D25" s="161" t="str">
        <x:v>CE-688758-0002</x:v>
      </x:c>
      <x:c r="E25" s="161" t="str">
        <x:v>PRIMARY</x:v>
      </x:c>
      <x:c r="F25" s="161" t="str">
        <x:v>HEADING_SECTION</x:v>
      </x:c>
      <x:c r="G25" s="161" t="n">
        <x:v>51</x:v>
      </x:c>
      <x:c r="H25" s="161" t="n">
        <x:v>53</x:v>
      </x:c>
      <x:c r="I25" s="161" t="str">
        <x:v>1-1-50</x:v>
      </x:c>
      <x:c r="J25" s="161" t="str">
        <x:v>1-1-52</x:v>
      </x:c>
      <x:c r="K25" s="161" t="str">
        <x:v>[{"pdf_page": 51, "line_start": 22, "line_end": 34}, {"pdf_page": 52, "line_start": 0, "line_end": 31}, {"pdf_page": 53, "line_start": 0, "line_end": 27}]</x:v>
      </x:c>
      <x:c r="L25" s="161" t="str">
        <x:v>（二）股份公司的设立情况
2021 年 8 月 9 日，万隆（上海）资产评估有限公司就赛分有限整体变更设
立股份公司事项出具 《苏州赛分科技有限公司拟变更设立股份有限公司涉及的其
净资产价值资产评估报告》（万隆评报字（2021）第 10464 号），截至 2021 年
5 月 31 日，赛分有限经评估的账面净资产值为人民币 330,045,075.98 元。
2021 年 8 月 9 日，容诚会计师事务所（特殊普通合伙）就赛分有限整体变
更设立股份公司事项出具《审计报告》（容诚审字 [2021]210Z0157 号），截至
2021 年 5 月 31 日， 赛分有限经审计的账面净资产值为人民币295,800,700.26 元。
2021 年 8 月 9 日，赛分有限临时股东会作出决议，审议通过了《关于公司
整体变更为股份有限公司的议案》 ， 同意赛分有限企业类型由有限责任公司整体
变更为股份有限公司， 名称为“苏州赛分科技股份有限公司”；同意以截至 2021
年 5 月 31 日， 以赛分有限折合的实收股本总额不高于经评估的净资产值为前提，
以上述经审计的账面净资产为基础，按 10.7537:1 的比例全额折为股份公司的股
苏州赛分科技股份有限公司                            首次公开发行股票并在科创板上市招股说明书
1-1-51
份总额，每股面值 1 元，共计 27,506,769 股，未折股部分 268,293,931.26 元将全
额计入股份公司的资本公积金。公司全体股东作为发起人， 按照目前各自在公司
的出资比例持有相应数额的股份。
2021 年 8 月 25 日， 赛分科技召开创立大会暨第一次股东大会， 审议通过 《关
于苏州赛分科技股份有限公司筹办情况的报告》 《关于苏州赛分科技股份有限公
司整体变更设立股份公司的议案》 《关于制定&lt;苏州赛分科技股份有限公司章程&gt;
的议案》 等相关议案， 选举并产生了第一届董事会和第一届监事会的股东代表监
事，并与职工代表大会选举产生的职工监事共同组成第一届监事会。
2021 年 8 月 25 日，容诚会计师事务所（特殊普通合伙）对本次整体变更进
行了验资， 并出具容诚验字[2021]210Z0020 号 《验资报告》 。 经审验， 截至2021
年 8 月 25 日，赛分科技各发起人以其拥有的赛分有限截至 2021 年 5 月 31 日经
审计的账面净资产 295,800,700.26 元（评估值为 330,045,075.98 元）折股投入，
其中 27,506,769.00 元折合为赛分科技的股本，股本总额 27,506,769 股，每股面
值 1 元，净资产折合股本后的余额计入资本公积。
2021 年 9 月 16 日， 赛分科技就整体变更为股份有限公司事项办理完毕工商
变更登记手续，取得了江苏省市场监督管理局换发的《营业执照》。
整体变更为股份有限公司后，赛分科技的股权结构如下：
序号 发起人姓名/名称 持股数量（股） 持股比例（%）
1 黄学英 8,031,668 29.1989
2 周金清 2,800,000 10.1793
3 高新同华 2,700,000 9.8158
4 陆民 2,574,000 9.3577
5 国寿疌泉 2,500,615 9.0909
6 华泰大健康一号 1,751,887 6.3689
7 苏州贤达 1,341,500 4.8770
8 复星惟盈 1,263,621 4.5939
9 苏州博达 1,149,389 4.1786
10 苏州杰贤 694,800 2.5259
11 潘鼎 632,000 2.2976
12 海佳同康 474,000 1.7232
苏州赛分科技股份有限公司                            首次公开发行股票并在科创板上市招股说明书
1-1-52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 存在改制基准日累计未分配利润
为负的情形。截至 2021 年 5 月 31 日，赛分有限未分配利润-49,602,682.54 元。
发行人改制基准日累计未分配利润为负的形成原因主要为， 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 发行人整体变更设立股份有限公司时未分配利润为负
的形成原因已消除，不会对发行人未来盈利能力造成重大不利影响。
发行人整体变更设立股份有限公司在改制基准日的会计处理如下：
借：实收资本 27,506,769.00 元
未分配利润-49,602,682.54 元
资本公积 317,896,613.80 元
贷：股本 27,506,769.00 元
资本公积 268,293,931.26 元</x:v>
      </x:c>
      <x:c r="M25" s="161" t="str">
        <x:v>2bdd7ffbb64bf2a0345f441206c1543e9f5e5a3162968d3bdab7378433e6828d</x:v>
      </x:c>
      <x:c r="N25" s="167" t="str">
        <x:v>["event_heading", "matched_term:股份公司的设立情况", "matched_term:regex:股份公司的设立情况", "service_provider_supporting_evidence"]</x:v>
      </x:c>
    </x:row>
    <x:row r="26" ht="30" customHeight="1">
      <x:c r="A26" s="198" t="n">
        <x:v>688758</x:v>
      </x:c>
      <x:c r="B26" s="161" t="str">
        <x:v>赛分科技</x:v>
      </x:c>
      <x:c r="C26" s="161" t="str">
        <x:v>EVD-688758-0002-02</x:v>
      </x:c>
      <x:c r="D26" s="161" t="str">
        <x:v>CE-688758-0002</x:v>
      </x:c>
      <x:c r="E26" s="161" t="str">
        <x:v>SUPPORTING</x:v>
      </x:c>
      <x:c r="F26" s="161" t="str">
        <x:v>HEADING_SECTION</x:v>
      </x:c>
      <x:c r="G26" s="161" t="n">
        <x:v>52</x:v>
      </x:c>
      <x:c r="H26" s="161" t="n">
        <x:v>53</x:v>
      </x:c>
      <x:c r="I26" s="161" t="str">
        <x:v>1-1-51</x:v>
      </x:c>
      <x:c r="J26" s="161" t="str">
        <x:v>1-1-52</x:v>
      </x:c>
      <x:c r="K26" s="161" t="str">
        <x:v>[{"pdf_page": 52, "line_start": 16, "line_end": 31}, {"pdf_page": 53, "line_start": 0, "line_end": 27}]</x:v>
      </x:c>
      <x:c r="L26" s="161" t="str">
        <x:v>2021 年 9 月 16 日， 赛分科技就整体变更为股份有限公司事项办理完毕工商
变更登记手续，取得了江苏省市场监督管理局换发的《营业执照》。
整体变更为股份有限公司后，赛分科技的股权结构如下：
序号 发起人姓名/名称 持股数量（股） 持股比例（%）
1 黄学英 8,031,668 29.1989
2 周金清 2,800,000 10.1793
3 高新同华 2,700,000 9.8158
4 陆民 2,574,000 9.3577
5 国寿疌泉 2,500,615 9.0909
6 华泰大健康一号 1,751,887 6.3689
7 苏州贤达 1,341,500 4.8770
8 复星惟盈 1,263,621 4.5939
9 苏州博达 1,149,389 4.1786
10 苏州杰贤 694,800 2.5259
11 潘鼎 632,000 2.2976
12 海佳同康 474,000 1.7232
苏州赛分科技股份有限公司                            首次公开发行股票并在科创板上市招股说明书
1-1-52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 存在改制基准日累计未分配利润
为负的情形。截至 2021 年 5 月 31 日，赛分有限未分配利润-49,602,682.54 元。
发行人改制基准日累计未分配利润为负的形成原因主要为， 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 发行人整体变更设立股份有限公司时未分配利润为负
的形成原因已消除，不会对发行人未来盈利能力造成重大不利影响。
发行人整体变更设立股份有限公司在改制基准日的会计处理如下：
借：实收资本 27,506,769.00 元
未分配利润-49,602,682.54 元
资本公积 317,896,613.80 元
贷：股本 27,506,769.00 元
资本公积 268,293,931.26 元</x:v>
      </x:c>
      <x:c r="M26" s="161" t="str">
        <x:v>123112b5f91cc342a107d4ccf7ed3214e67770f56405995e60fe693ef059f3fc</x:v>
      </x:c>
      <x:c r="N26" s="167" t="str">
        <x:v>["event_heading", "matched_term:整体变更为股份有限公司", "matched_term:整体变更"]</x:v>
      </x:c>
    </x:row>
    <x:row r="27" ht="30" customHeight="1">
      <x:c r="A27" s="198" t="n">
        <x:v>688758</x:v>
      </x:c>
      <x:c r="B27" s="161" t="str">
        <x:v>赛分科技</x:v>
      </x:c>
      <x:c r="C27" s="161" t="str">
        <x:v>EVD-688758-0002-03</x:v>
      </x:c>
      <x:c r="D27" s="161" t="str">
        <x:v>CE-688758-0002</x:v>
      </x:c>
      <x:c r="E27" s="161" t="str">
        <x:v>SUPPORTING</x:v>
      </x:c>
      <x:c r="F27" s="161" t="str">
        <x:v>HEADING_SECTION</x:v>
      </x:c>
      <x:c r="G27" s="161" t="n">
        <x:v>58</x:v>
      </x:c>
      <x:c r="H27" s="161" t="n">
        <x:v>59</x:v>
      </x:c>
      <x:c r="I27" s="161" t="str">
        <x:v>1-1-57</x:v>
      </x:c>
      <x:c r="J27" s="161" t="str">
        <x:v>1-1-58</x:v>
      </x:c>
      <x:c r="K27" s="161" t="str">
        <x:v>[{"pdf_page": 58, "line_start": 34, "line_end": 37}, {"pdf_page": 59, "line_start": 0, "line_end": 1}]</x:v>
      </x:c>
      <x:c r="L27" s="161" t="str">
        <x:v>3、2021 年 9 月，整体变更为股份公司
公司整体变更为股份有限公司的具体情况， 请详见本招股说明书之“第四节
发行人基本情况”之“二、 公司设立及报告期内的股本和股东变化情况”之“（二）
股份公司的设立情况”。
苏州赛分科技股份有限公司                            首次公开发行股票并在科创板上市招股说明书
1-1-58</x:v>
      </x:c>
      <x:c r="M27" s="161" t="str">
        <x:v>5df5bffa70cf14542061a88019bbbe156a4841dd6ad8c3c3daae2be4534d78c1</x:v>
      </x:c>
      <x:c r="N27" s="167" t="str">
        <x:v>["event_heading", "matched_term:整体变更"]</x:v>
      </x:c>
    </x:row>
    <x:row r="28" ht="30" customHeight="1">
      <x:c r="A28" s="198" t="n">
        <x:v>688758</x:v>
      </x:c>
      <x:c r="B28" s="161" t="str">
        <x:v>赛分科技</x:v>
      </x:c>
      <x:c r="C28" s="161" t="str">
        <x:v>EVD-688758-0003-01</x:v>
      </x:c>
      <x:c r="D28" s="161" t="str">
        <x:v>CE-688758-0003</x:v>
      </x:c>
      <x:c r="E28" s="161" t="str">
        <x:v>PRIMARY</x:v>
      </x:c>
      <x:c r="F28" s="161" t="str">
        <x:v>HEADING_SECTION</x:v>
      </x:c>
      <x:c r="G28" s="161" t="n">
        <x:v>55</x:v>
      </x:c>
      <x:c r="H28" s="161" t="n">
        <x:v>56</x:v>
      </x:c>
      <x:c r="I28" s="161" t="str">
        <x:v>1-1-54</x:v>
      </x:c>
      <x:c r="J28" s="161" t="str">
        <x:v>1-1-55</x:v>
      </x:c>
      <x:c r="K28" s="161" t="str">
        <x:v>[{"pdf_page": 55, "line_start": 2, "line_end": 15}, {"pdf_page": 56, "line_start": 0, "line_end": 28}]</x:v>
      </x:c>
      <x:c r="L28" s="161" t="str">
        <x:v>1、2021 年 4 月，报告期内第一次股权转让及第一次增资
（1）报告期内第一次股权转让
2021 年 2 月 22 日，赛分有限召开股东会并作出决议，同意黄学英将其持有
的赛分有限 58.2243 万元注册资本分别转让给复星惟盈、朱勤华、唐斌及张敏。
2021 年 1 月， 黄学英与朱勤华签署了 《股权转让协议》 ，2021 年 2 月 24 日，
黄学英与复星惟盈、唐斌、张敏签署了《股权转让协议》。
具体情况如下：
序号 转让方 受让方 转让单价
（元/注册资本）
注册资本
（万元）
转让价格
（万元）
1 黄学英 复星惟盈 51.52 37.3190 1,922.8571
苏州赛分科技股份有限公司                            首次公开发行股票并在科创板上市招股说明书
1-1-55
序号 转让方 受让方 转让单价
（元/注册资本）
注册资本
（万元）
转让价格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 黄学英已就上述股权转
让事项缴纳了个人所得税 5,882,051.40 元。
（2）报告期内第一次增资
2021 年 2 月 25 日，赛分有限召开股东会并作出决议，同意公司注册资本增
加 342.6769 万元至 2,750.6769 万元。 新增的342.6769 万元注册资本由国寿疌泉、
复星惟盈、唐斌、张敏以人民币 1.85 亿元认购。
2021 年 2 月 26 日，国寿疌泉、复星惟盈、唐斌、张敏与发行人签署了《关
于苏州赛分科技有限公司之增资协议》。
本次增资具体情况如下：
序号 股东姓名/名称 认缴出资额
（万元）
增资价格
（元/注册资本）
增资金额
（万元） 出资方式
1 国寿疌泉 250.0615</x:v>
      </x:c>
      <x:c r="M28" s="161" t="str">
        <x:v>0a3224b1b684a93793f9a8924fdeef4d67318661ba663adfb9146e2a3145839a</x:v>
      </x:c>
      <x:c r="N28" s="167" t="str">
        <x:v>["event_heading", "matched_term:第一次股权转让", "matched_term:第一次增资", "matched_term:股权转让", "matched_term:增资", "explicit_combined_event"]</x:v>
      </x:c>
    </x:row>
    <x:row r="29" ht="30" customHeight="1">
      <x:c r="A29" s="198" t="n">
        <x:v>688758</x:v>
      </x:c>
      <x:c r="B29" s="161" t="str">
        <x:v>赛分科技</x:v>
      </x:c>
      <x:c r="C29" s="161" t="str">
        <x:v>EVD-688758-0004-01</x:v>
      </x:c>
      <x:c r="D29" s="161" t="str">
        <x:v>CE-688758-0004</x:v>
      </x:c>
      <x:c r="E29" s="161" t="str">
        <x:v>PRIMARY</x:v>
      </x:c>
      <x:c r="F29" s="161" t="str">
        <x:v>HEADING_SECTION</x:v>
      </x:c>
      <x:c r="G29" s="161" t="n">
        <x:v>57</x:v>
      </x:c>
      <x:c r="H29" s="161" t="n">
        <x:v>58</x:v>
      </x:c>
      <x:c r="I29" s="161" t="str">
        <x:v>1-1-56</x:v>
      </x:c>
      <x:c r="J29" s="161" t="str">
        <x:v>1-1-57</x:v>
      </x:c>
      <x:c r="K29" s="161" t="str">
        <x:v>[{"pdf_page": 57, "line_start": 29, "line_end": 37}, {"pdf_page": 58, "line_start": 0, "line_end": 33}]</x:v>
      </x:c>
      <x:c r="L29" s="161" t="str">
        <x:v>2、2021 年 8 月，报告期内第二次股权转让
2021 年 7 月 10 日，赛分有限召开股东会并作出决议，同意黄学英将其持有
的公司 0.8%的注册资本 22.00 万元以人民币 0 元的价格转让给高新同华。 本次股
权转让系为解决公司与高新同华之间的业绩承诺与补偿事宜。
2021 年 7 月 10 日，赛分有限、高新同华与黄学英签署《增资协议之补充协
议》，约定终止各方于 2015 年 7 月签署的《投资合作框架协议》中第四条“业
绩承诺”和各方于 2015 年 8 月签署的 《增资协议》 中第五条“业绩承诺和补偿”，
各方不再根据被终止条款享有任何权利或承担任何义务， 作为补偿， 黄学英同意
以合计人民币 0 元的价格向高新同华转让其所持有的赛分有限 22 万元注册资本，
苏州赛分科技股份有限公司                            首次公开发行股票并在科创板上市招股说明书
1-1-57
双方将另行签署《股权转让协议》。
黄学英与高新同华就上述股权转让事宜签署了 《股权转让协议》， 就该次股
权转让事项，黄学英已经取得了免税证明。
本次股权转让后，赛分有限的股权结构如下：
序号 股东姓名/名称 认缴出资额
（万元）
实缴出资额
（万元）
出资比例
（%） 出资方式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朱勤华 19.4081 19.4081 0.7056 货币
18 华泰大健康二号 12.0034 12.0034 0.4364 货币
19 道兴投资 2.8079 2.8079 0.1021 货币
20 唐斌 3.0041 3.0041 0.1092 货币
21 张敏 2.0654 2.0654 0.0751 货币
合计 2750.6769 2750.6769 100.0000 /</x:v>
      </x:c>
      <x:c r="M29" s="161" t="str">
        <x:v>423a5ee3816081c6a0f2add8ab77a86b464a45b381de6a5bb78c41217dfb40d7</x:v>
      </x:c>
      <x:c r="N29" s="167" t="str">
        <x:v>["event_heading", "matched_term:第二次股权转让", "matched_term:股权转让"]</x:v>
      </x:c>
    </x:row>
    <x:row r="30" ht="30" customHeight="1">
      <x:c r="A30" s="198" t="n">
        <x:v>688758</x:v>
      </x:c>
      <x:c r="B30" s="161" t="str">
        <x:v>赛分科技</x:v>
      </x:c>
      <x:c r="C30" s="161" t="str">
        <x:v>EVD-688758-0005-01</x:v>
      </x:c>
      <x:c r="D30" s="161" t="str">
        <x:v>CE-688758-0005</x:v>
      </x:c>
      <x:c r="E30" s="161" t="str">
        <x:v>PRIMARY</x:v>
      </x:c>
      <x:c r="F30" s="161" t="str">
        <x:v>HEADING_SECTION</x:v>
      </x:c>
      <x:c r="G30" s="161" t="n">
        <x:v>59</x:v>
      </x:c>
      <x:c r="H30" s="161" t="n">
        <x:v>59</x:v>
      </x:c>
      <x:c r="I30" s="161" t="str">
        <x:v>1-1-58</x:v>
      </x:c>
      <x:c r="J30" s="161" t="str">
        <x:v>1-1-58</x:v>
      </x:c>
      <x:c r="K30" s="161" t="str">
        <x:v>[{"pdf_page": 59, "line_start": 2, "line_end": 16}]</x:v>
      </x:c>
      <x:c r="L30" s="161" t="str">
        <x:v>4、2021 年 11 月，报告期内第二次增资
2021 年 10 月 28 日，赛分科技召开 2021 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 年 11 月，上述新增股东已支付完毕全部增资款。
本次增资具体情况如下：
序号 股东姓名/名称 认购股份
（股）
股份价格
（元/股）
认购金额
（万元） 出资方式
1 源峰磐赛 1,571,815</x:v>
      </x:c>
      <x:c r="M30" s="161" t="str">
        <x:v>ed5288aacecf32b1bb68686eac81bf0d602ad9a0a5625fb167f0f6ab443dd07f</x:v>
      </x:c>
      <x:c r="N30" s="167" t="str">
        <x:v>["event_heading", "matched_term:第二次增资", "matched_term:增资"]</x:v>
      </x:c>
    </x:row>
    <x:row r="31" ht="30" customHeight="1">
      <x:c r="A31" s="198" t="n">
        <x:v>688758</x:v>
      </x:c>
      <x:c r="B31" s="161" t="str">
        <x:v>赛分科技</x:v>
      </x:c>
      <x:c r="C31" s="161" t="str">
        <x:v>EVD-688758-0006-01</x:v>
      </x:c>
      <x:c r="D31" s="161" t="str">
        <x:v>CE-688758-0006</x:v>
      </x:c>
      <x:c r="E31" s="161" t="str">
        <x:v>PRIMARY</x:v>
      </x:c>
      <x:c r="F31" s="161" t="str">
        <x:v>HEADING_SECTION</x:v>
      </x:c>
      <x:c r="G31" s="161" t="n">
        <x:v>60</x:v>
      </x:c>
      <x:c r="H31" s="161" t="n">
        <x:v>62</x:v>
      </x:c>
      <x:c r="I31" s="161" t="str">
        <x:v>1-1-59</x:v>
      </x:c>
      <x:c r="J31" s="161" t="str">
        <x:v>1-1-61</x:v>
      </x:c>
      <x:c r="K31" s="161" t="str">
        <x:v>[{"pdf_page": 60, "line_start": 30, "line_end": 33}, {"pdf_page": 61, "line_start": 0, "line_end": 33}, {"pdf_page": 62, "line_start": 0, "line_end": 23}]</x:v>
      </x:c>
      <x:c r="L31" s="161" t="str">
        <x:v>5、2021 年 12 月，报告期内第三次增资
2021 年 11 月 22 日，赛分科技召开 2021 年第二次临时股东大会，决议同意
赛分科技增发股份 117,886 股，新增股份由新增股东聚贝投资以人民币 1,500 万
元认购。
苏州赛分科技股份有限公司                            首次公开发行股票并在科创板上市招股说明书
1-1-60
2021 年 11 月 22 日，聚贝投资与赛分科技及原股东签署了《增资协议》。
截至 2021 年 12 月，聚贝投资支付完毕全部增资款。
2021 年 12 月 6 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392,954 1.2330
19 陈志华 300,400 0.9426
20 耿卫东 300,000 0.9414
21 甘李药业 235,772 0.7398
22 骏耀投资 200,000 0.6276
23 朱勤华 194,081 0.6090
24 吴征涛 157,182 0.4932
25 国药二期 155,625 0.4883
26 华泰大健康二号 120,034 0.3767
苏州赛分科技股份有限公司                            首次公开发行股票并在科创板上市招股说明书
1-1-61
序号 股东姓名/名称 股份数量（股） 持股比例（%）
27 聚贝投资 117,886 0.3699
28 唐斌 30,041 0.0943
29 道兴投资 28,079 0.0881
30 张敏 20,654 0.0648
31 圣成投资 9,699 0.0304
32 圣祁投资 1,556 0.0049
合计 31,868,556 100.0000
该次增资中， 赛分科技全体股东共同签署了 《苏州赛分科技股份有限公司之
股东协议》，约定了投资方的特别权利，包括优先认购权、优先购买权、共同出
售权、反稀释权、优先清算权、回赎权等。并确认该股东协议为约定股东权利、
义务的唯一和全部协议， 该股东协议之前的有关股东权利、 义务的任何协议均告
终止。
该股东协议第 3.1.2 条“特别权利的终止”，明确约定“投资人和其他股东
在此分别确认并同意， 为使公司顺利实现合格首次公开发行之目的， 本协议项下
其优先认购权、优先购买权、共同出售权、反稀释权、优先分配利润的权利、优
先清算权、 回赎权、 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 年 6 月 30 日， 该股东协议约定的投资方
的特别权利，均自 2022 年 6 月 30 日起不可撤销地终止，并自始无效。</x:v>
      </x:c>
      <x:c r="M31" s="161" t="str">
        <x:v>27e3bbf165676fd7cbc0ff45f67ec9a88f29c1c4933276e54d5caf6b32ababeb</x:v>
      </x:c>
      <x:c r="N31" s="167" t="str">
        <x:v>["event_heading", "matched_term:第三次增资", "matched_term:增资"]</x:v>
      </x:c>
    </x:row>
    <x:row r="32" ht="30" customHeight="1">
      <x:c r="A32" s="198" t="n">
        <x:v>688758</x:v>
      </x:c>
      <x:c r="B32" s="161" t="str">
        <x:v>赛分科技</x:v>
      </x:c>
      <x:c r="C32" s="161" t="str">
        <x:v>EVD-688758-0007-01</x:v>
      </x:c>
      <x:c r="D32" s="161" t="str">
        <x:v>CE-688758-0007</x:v>
      </x:c>
      <x:c r="E32" s="161" t="str">
        <x:v>PRIMARY</x:v>
      </x:c>
      <x:c r="F32" s="161" t="str">
        <x:v>HEADING_SECTION</x:v>
      </x:c>
      <x:c r="G32" s="161" t="n">
        <x:v>62</x:v>
      </x:c>
      <x:c r="H32" s="161" t="n">
        <x:v>64</x:v>
      </x:c>
      <x:c r="I32" s="161" t="str">
        <x:v>1-1-61</x:v>
      </x:c>
      <x:c r="J32" s="161" t="str">
        <x:v>1-1-63</x:v>
      </x:c>
      <x:c r="K32" s="161" t="str">
        <x:v>[{"pdf_page": 62, "line_start": 24, "line_end": 30}, {"pdf_page": 63, "line_start": 0, "line_end": 34}, {"pdf_page": 64, "line_start": 0, "line_end": 5}]</x:v>
      </x:c>
      <x:c r="L32" s="161" t="str">
        <x:v>6、2021 年 12 月，报告期内第一次资本公积转增股本
2021 年 12 月 6 日，赛分科技召开 2021 年第三次临时股东大会决议，决议
同意赛分科技以 2021 年 11 月 25 日总股本 31,868,556 股为基数，以资本公积金
向公司现有全体股东每 10 股转增 105 股， 共计转增股本334,619,838 股， 每股面
值 1 元。 本次转增完成后， 公司股本总数由31,868,556 股变更为 366,488,394 股，
并同步修改《公司章程》。
2021 年 12 月 15 日，赛分科技取得了江苏省市场监督管理局换发的《营业
苏州赛分科技股份有限公司                            首次公开发行股票并在科创板上市招股说明书
1-1-62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苏州赛分科技股份有限公司                            首次公开发行股票并在科创板上市招股说明书
1-1-63
序号 股东姓名/名称 股份数量（股） 持股比例（%）
31 圣成投资 111,539 0.0304
32 圣祁投资 17,894 0.0049
合计 366,488,394 100.0000</x:v>
      </x:c>
      <x:c r="M32" s="161" t="str">
        <x:v>45ad6aa86e91ba2a98a24a9490d563af8dd8c8c9ad9df7b052026188c730d3a9</x:v>
      </x:c>
      <x:c r="N32" s="167" t="str">
        <x:v>["event_heading", "matched_term:第一次资本公积转增股本", "matched_term:资本公积转增股本", "matched_term:转增股本"]</x:v>
      </x:c>
    </x:row>
    <x:row r="33" ht="30" customHeight="1">
      <x:c r="A33" s="198" t="n">
        <x:v>688775</x:v>
      </x:c>
      <x:c r="B33" s="161" t="str">
        <x:v>影石创新</x:v>
      </x:c>
      <x:c r="C33" s="161" t="str">
        <x:v>EVD-688775-0001-01</x:v>
      </x:c>
      <x:c r="D33" s="161" t="str">
        <x:v>CE-688775-0001</x:v>
      </x:c>
      <x:c r="E33" s="161" t="str">
        <x:v>PRIMARY</x:v>
      </x:c>
      <x:c r="F33" s="161" t="str">
        <x:v>HEADING_SECTION</x:v>
      </x:c>
      <x:c r="G33" s="161" t="n">
        <x:v>62</x:v>
      </x:c>
      <x:c r="H33" s="161" t="n">
        <x:v>63</x:v>
      </x:c>
      <x:c r="I33" s="161" t="str">
        <x:v>1-1-62</x:v>
      </x:c>
      <x:c r="J33" s="161" t="str">
        <x:v>1-1-63</x:v>
      </x:c>
      <x:c r="K33" s="161" t="str">
        <x:v>[{"pdf_page": 62, "line_start": 47, "line_end": 48}, {"pdf_page": 63, "line_start": 0, "line_end": 7}]</x:v>
      </x:c>
      <x:c r="L33" s="161" t="str">
        <x:v>1、有限公司设立情况
2015 年 7 月 9 日，北京岚锋以货币出资方式设立深圳岚锋，公司注册资本
影石创新科技股份有限公司                                   招股说明书
1-1-63
1,000.00 万元。同日，深圳市市场监督管理局向深圳岚锋签发了《营业执照》
（社会信用统一代码：91440300342470600P）。
深圳岚锋设立时，出资情况如下：
序号 股东名称 出资额（万元） 持股比例（%）
1 北京岚锋 1,000.00 100.00
合计 1,000.00 100.00</x:v>
      </x:c>
      <x:c r="M33" s="161" t="str">
        <x:v>c1f27122909de94aa62303c02d1ddbed7acff2e67fb4ef6f2f61d647f225fcbe</x:v>
      </x:c>
      <x:c r="N33" s="167" t="str">
        <x:v>["event_heading", "matched_term:有限公司设立情况", "matched_term:regex:有限公司设立情况", "matched_term:有限公司设立"]</x:v>
      </x:c>
    </x:row>
    <x:row r="34" ht="30" customHeight="1">
      <x:c r="A34" s="198" t="n">
        <x:v>688775</x:v>
      </x:c>
      <x:c r="B34" s="161" t="str">
        <x:v>影石创新</x:v>
      </x:c>
      <x:c r="C34" s="161" t="str">
        <x:v>EVD-688775-0002-01</x:v>
      </x:c>
      <x:c r="D34" s="161" t="str">
        <x:v>CE-688775-0002</x:v>
      </x:c>
      <x:c r="E34" s="161" t="str">
        <x:v>PRIMARY</x:v>
      </x:c>
      <x:c r="F34" s="161" t="str">
        <x:v>HEADING_SECTION</x:v>
      </x:c>
      <x:c r="G34" s="161" t="n">
        <x:v>63</x:v>
      </x:c>
      <x:c r="H34" s="161" t="n">
        <x:v>64</x:v>
      </x:c>
      <x:c r="I34" s="161" t="str">
        <x:v>1-1-63</x:v>
      </x:c>
      <x:c r="J34" s="161" t="str">
        <x:v>1-1-64</x:v>
      </x:c>
      <x:c r="K34" s="161" t="str">
        <x:v>[{"pdf_page": 63, "line_start": 8, "line_end": 29}, {"pdf_page": 64, "line_start": 0, "line_end": 28}]</x:v>
      </x:c>
      <x:c r="L34" s="161" t="str">
        <x:v>2、股份公司设立情况
2020 年 1 月 3 日，深圳岚锋召开董事会，全体董事一致同意将深圳岚锋变
更为股份公司，名称拟定为“影石创新科技股份有限公司” 。同日，深圳岚锋全
体股东签署了《影石创新科技股份有限公司发起人协议》 。
截至 2019 年 10 月 31 日，深圳岚锋账面净资产为 52,728.05 万元。深圳岚锋
全体股东以其拥有的截至 2019 年 10 月 31 日（股改基准日）的净资产 52,728.05
万元出资，并按照 1：1.4647 的比例折合股本 36,000.00 万元，其余计入资本公
积。截至 2020 年 1 月 18 日，公司已收到全体股东缴纳的注册资本合计人民币
36,000.00 万元，出资方式为净资产折股。
深圳岚锋在评估基准日（2019 年 10 月 31 日）净资产评估价值为 54,553.14
万元。
2020 年 1 月 18 日，公司召开创立大会暨第一次临时股东大会，审议通过成
立影石创新科技股份有限公司等事宜，并签署了《影石创新科技股份有限公司
章程》 。
2020 年 2 月 26 日，深圳市市场监督管理局核准了本次备案登记，并签发了
新的《营业执照》 。
影石创新设立时，股本结构如下：
序号 股东名称 股份数（万股） 持股比例（%）
1 北京岚锋 10,777.5453 29.9376
2 EARN ACE 4,796.6179 13.3239
3 QM101 3,384.0413 9.4001
4 香港迅雷 3,143.7542 8.7327
影石创新科技股份有限公司                                   招股说明书
1-1-64
序号 股东名称 股份数（万股） 持股比例（%）
5 岚沣管理 1,464.0237 4.0667
6 华金同达 1,436.7094 3.9909
7 厦门富凯 1,332.1116 3.7003
8 澜烽管理 1,171.2193 3.2534
9 伊敦传媒 976.4985 2.7125
10 领誉基石 960.1358 2.6670
11 中证投资 911.2616 2.5313
12 金石智娱 911.2486 2.5312
13 芜湖旷沄 638.5374 1.7737
14 朗玛六号 600.5396 1.6682
15 天正投资 584.9989 1.6250
16 朗玛五号 540.4859 1.5013
17 深圳麦高 468.0393 1.3001
18 朗玛九号 455.3182 1.2648
19 德朴投资 287.0651 0.7974
20 朗玛十四号 224.9975 0.6250
21 利得鑫投 216.0001 0.6000
22 汇智同裕 191.5613 0.5321
23 华金创盈 157.4973 0.4375
24 岚烽管理 145.8319 0.4051
25 威明投资 89.9968 0.2500
26 山东龙兴（SS） 70.3268 0.1954
27 知盛投资 63.6367 0.1768
合计 36,000.00 100.00
注：根据《上市公司国有股权监督管理办法》的规定，国有股东的证券账户应标注“ SS”，
SS 为“State-owned Shareholders”的简称，即国有股东</x:v>
      </x:c>
      <x:c r="M34" s="161" t="str">
        <x:v>645d790fa6cef589717fba9590e694136cd6805a4069d7d4b4537461d8e17fc2</x:v>
      </x:c>
      <x:c r="N34" s="167" t="str">
        <x:v>["event_heading", "matched_term:股份公司设立情况", "matched_term:regex:股份公司设立情况"]</x:v>
      </x:c>
    </x:row>
    <x:row r="35" ht="30" customHeight="1">
      <x:c r="A35" s="198" t="n">
        <x:v>688775</x:v>
      </x:c>
      <x:c r="B35" s="161" t="str">
        <x:v>影石创新</x:v>
      </x:c>
      <x:c r="C35" s="161" t="str">
        <x:v>EVD-688775-0003-01</x:v>
      </x:c>
      <x:c r="D35" s="161" t="str">
        <x:v>CE-688775-0003</x:v>
      </x:c>
      <x:c r="E35" s="161" t="str">
        <x:v>PRIMARY</x:v>
      </x:c>
      <x:c r="F35" s="161" t="str">
        <x:v>HEADING_SECTION</x:v>
      </x:c>
      <x:c r="G35" s="161" t="n">
        <x:v>65</x:v>
      </x:c>
      <x:c r="H35" s="161" t="n">
        <x:v>66</x:v>
      </x:c>
      <x:c r="I35" s="161" t="str">
        <x:v>1-1-65</x:v>
      </x:c>
      <x:c r="J35" s="161" t="str">
        <x:v>1-1-66</x:v>
      </x:c>
      <x:c r="K35" s="161" t="str">
        <x:v>[{"pdf_page": 65, "line_start": 31, "line_end": 33}, {"pdf_page": 66, "line_start": 0, "line_end": 1}]</x:v>
      </x:c>
      <x:c r="L35" s="161" t="str">
        <x:v>1、2023 年 3 月，股份公司第一次股权转让
2023 年 1 月 28 日和 2023 年 2 月 17 日，影石创新分别召开董事会和股东大
会并形成决议，同意德朴投资以 1,462.7126 万元的对价向汇智同裕转让股本
影石创新科技股份有限公司                                   招股说明书
1-1-66</x:v>
      </x:c>
      <x:c r="M35" s="161" t="str">
        <x:v>6d1858e21741e4db2fed9c6689bf0136bf0a379db08ea4f8040c430423251c0e</x:v>
      </x:c>
      <x:c r="N35" s="167" t="str">
        <x:v>["event_heading", "matched_term:第一次股权转让", "matched_term:股权转让"]</x:v>
      </x:c>
    </x:row>
    <x:row r="36" ht="30" customHeight="1">
      <x:c r="A36" s="198" t="n">
        <x:v>920100</x:v>
      </x:c>
      <x:c r="B36" s="161" t="str">
        <x:v>三协电机</x:v>
      </x:c>
      <x:c r="C36" s="161" t="str">
        <x:v>EVD-920100-0001-01</x:v>
      </x:c>
      <x:c r="D36" s="161" t="str">
        <x:v>CE-920100-0001</x:v>
      </x:c>
      <x:c r="E36" s="161" t="str">
        <x:v>PRIMARY</x:v>
      </x:c>
      <x:c r="F36" s="161" t="str">
        <x:v>HEADING_SECTION</x:v>
      </x:c>
      <x:c r="G36" s="161" t="n">
        <x:v>39</x:v>
      </x:c>
      <x:c r="H36" s="161" t="n">
        <x:v>39</x:v>
      </x:c>
      <x:c r="I36" s="161" t="str">
        <x:v>1-1-39</x:v>
      </x:c>
      <x:c r="J36" s="161" t="str">
        <x:v>1-1-39</x:v>
      </x:c>
      <x:c r="K36" s="161" t="str">
        <x:v>[{"pdf_page": 39, "line_start": 14, "line_end": 16}]</x:v>
      </x:c>
      <x:c r="L36" s="161" t="str">
        <x:v>2021 年 3 月，上述股权代持已解除， 涉及代持各方不存在纠纷或潜在纠纷， 上述股权代持情况
不影响发行人股权有效性，不构成本次发行的实质性法律障碍。截至本招股说明书签署日，公司不
存在股权代持的情况。</x:v>
      </x:c>
      <x:c r="M36" s="161" t="str">
        <x:v>129a401db0e5bdcd01a9468f227b64ac855a19b9c557f4db20eadef6b550aec7</x:v>
      </x:c>
      <x:c r="N36" s="167" t="str">
        <x:v>["event_heading", "matched_term:股权代持已解除"]</x:v>
      </x:c>
    </x:row>
    <x:row r="37" ht="30" customHeight="1">
      <x:c r="A37" s="198" t="n">
        <x:v>920116</x:v>
      </x:c>
      <x:c r="B37" s="161" t="str">
        <x:v>星图测控</x:v>
      </x:c>
      <x:c r="C37" s="161" t="str">
        <x:v>EVD-920116-0001-01</x:v>
      </x:c>
      <x:c r="D37" s="161" t="str">
        <x:v>CE-920116-0001</x:v>
      </x:c>
      <x:c r="E37" s="161" t="str">
        <x:v>PRIMARY</x:v>
      </x:c>
      <x:c r="F37" s="161" t="str">
        <x:v>HEADING_SECTION</x:v>
      </x:c>
      <x:c r="G37" s="161" t="n">
        <x:v>35</x:v>
      </x:c>
      <x:c r="H37" s="161" t="n">
        <x:v>36</x:v>
      </x:c>
      <x:c r="I37" s="161" t="str">
        <x:v>1-1-35</x:v>
      </x:c>
      <x:c r="J37" s="161" t="str">
        <x:v>1-1-36</x:v>
      </x:c>
      <x:c r="K37" s="161" t="str">
        <x:v>[{"pdf_page": 35, "line_start": 26, "line_end": 28}, {"pdf_page": 36, "line_start": 0, "line_end": 0}]</x:v>
      </x:c>
      <x:c r="L37" s="161" t="str">
        <x:v>2023 年 5 月 16 日，公司在全国股转系统网站发布《股票定向发行新增股份在全国
股份转让系统挂牌并公开转让的公告》 ， 本次定向发行新增股份于2023 年 5 月 19 日起
在全国中小企业股份转让系统挂牌并公开转让。
1-1-36</x:v>
      </x:c>
      <x:c r="M37" s="161" t="str">
        <x:v>9cd5d30beee1d5e047fc3c868a2f054922c1a7382204961f95addb063710d77f</x:v>
      </x:c>
      <x:c r="N37" s="167" t="str">
        <x:v>["event_heading", "matched_term:股票定向发行", "matched_term:定向发行"]</x:v>
      </x:c>
    </x:row>
    <x:row r="38" ht="30" customHeight="1">
      <x:c r="A38" s="198" t="n">
        <x:v>920116</x:v>
      </x:c>
      <x:c r="B38" s="161" t="str">
        <x:v>星图测控</x:v>
      </x:c>
      <x:c r="C38" s="161" t="str">
        <x:v>EVD-920116-0001-02</x:v>
      </x:c>
      <x:c r="D38" s="161" t="str">
        <x:v>CE-920116-0001</x:v>
      </x:c>
      <x:c r="E38" s="161" t="str">
        <x:v>SUPPORTING</x:v>
      </x:c>
      <x:c r="F38" s="161" t="str">
        <x:v>DATED_FALLBACK</x:v>
      </x:c>
      <x:c r="G38" s="161" t="n">
        <x:v>35</x:v>
      </x:c>
      <x:c r="H38" s="161" t="n">
        <x:v>35</x:v>
      </x:c>
      <x:c r="I38" s="161" t="str">
        <x:v>1-1-35</x:v>
      </x:c>
      <x:c r="J38" s="161" t="str">
        <x:v>1-1-35</x:v>
      </x:c>
      <x:c r="K38" s="161" t="str">
        <x:v>[{"pdf_page": 35, "line_start": 2, "line_end": 22}]</x:v>
      </x:c>
      <x:c r="L38" s="161" t="str">
        <x:v>公司于全国股转系统挂牌后，报告期内共进行过一次定向发行，具体情况如下：
2023 年 3 月 28 日，公司召开第一届董事会第六次会议，审议通过了《关于&lt;中科
星图测控技术股份有限公司 2023 年第一次股票定向发行说明书&gt;的议案》《关于&lt;中科
星图测控技术股份有限公司 2023 年员工持股计划 （草案）&gt;的议案》 等相关议案。 同日，
公司召开第一届监事会第三次会议，审议通过了《关于&lt;中科星图测控技术股份有限公
司 2023 年第一次股票定向发行说明书&gt;的议案》《关于&lt;中科星图测控技术股份有限公
司 2023 年员工持股计划（草案）&gt;的议案》等相关议案。
2023 年 4 月 12 日，公司召开 2023 年第三次临时股东大会，审议通过了《关于&lt;中
科星图测控技术股份有限公司 2023 年第一次股票定向发行说明书&gt;的议案》《关于&lt;中
科星图测控技术股份有限公司 2023 年员工持股计划（草案）&gt;的议案》等相关议案。
2023 年 4 月 26 日，全国股转公司印发《关于同意中科星图测控技术股份有限公司
股票定向发行的函》（股转函〔2023〕876 号）。本次股票发行股数为 7,500,000 股，
每股价格为人民币 6.30 元，募集资金总额为 47,250,000.00 元。
本次发行的具体情况如下：
序号 发行对象名称 认购数量（股） 认购金额（元） 认购方式
1 策星银河 2,790,000 17,577,000.00 现金
2 策星逐日 1,710,000 10,773,000.00 现金
3 幸福二期 3,000,000 18,900,000.00 现金
合计 7,500,000 47,250,000.00 -
2023 年 5 月 9 日，立信会计师出具《验资报告》（信会师报字[2023]第 ZG11482
号），经审验，截至 2023 年 5 月 8 日止，公司已定向发行人民币普通股 7,500,000 股，</x:v>
      </x:c>
      <x:c r="M38" s="161" t="str">
        <x:v>41fc3fb4dae489746e32b1aa59cd81c1e27973567e8e6d6ea40f298826a706cc</x:v>
      </x:c>
      <x:c r="N38" s="167" t="str">
        <x:v>["dated_fallback", "matched_term:股票定向发行", "matched_term:定向发行"]</x:v>
      </x:c>
    </x:row>
    <x:row r="39" ht="30" customHeight="1">
      <x:c r="A39" s="198" t="n">
        <x:v>920116</x:v>
      </x:c>
      <x:c r="B39" s="161" t="str">
        <x:v>星图测控</x:v>
      </x:c>
      <x:c r="C39" s="161" t="str">
        <x:v>EVD-920116-0001-03</x:v>
      </x:c>
      <x:c r="D39" s="161" t="str">
        <x:v>CE-920116-0001</x:v>
      </x:c>
      <x:c r="E39" s="161" t="str">
        <x:v>SUPPORTING</x:v>
      </x:c>
      <x:c r="F39" s="161" t="str">
        <x:v>DATED_FALLBACK</x:v>
      </x:c>
      <x:c r="G39" s="161" t="n">
        <x:v>35</x:v>
      </x:c>
      <x:c r="H39" s="161" t="n">
        <x:v>35</x:v>
      </x:c>
      <x:c r="I39" s="161" t="str">
        <x:v>1-1-35</x:v>
      </x:c>
      <x:c r="J39" s="161" t="str">
        <x:v>1-1-35</x:v>
      </x:c>
      <x:c r="K39" s="161" t="str">
        <x:v>[{"pdf_page": 35, "line_start": 5, "line_end": 25}]</x:v>
      </x:c>
      <x:c r="L39" s="161" t="str">
        <x:v>星图测控技术股份有限公司 2023 年员工持股计划 （草案）&gt;的议案》 等相关议案。 同日，
公司召开第一届监事会第三次会议，审议通过了《关于&lt;中科星图测控技术股份有限公
司 2023 年第一次股票定向发行说明书&gt;的议案》《关于&lt;中科星图测控技术股份有限公
司 2023 年员工持股计划（草案）&gt;的议案》等相关议案。
2023 年 4 月 12 日，公司召开 2023 年第三次临时股东大会，审议通过了《关于&lt;中
科星图测控技术股份有限公司 2023 年第一次股票定向发行说明书&gt;的议案》《关于&lt;中
科星图测控技术股份有限公司 2023 年员工持股计划（草案）&gt;的议案》等相关议案。
2023 年 4 月 26 日，全国股转公司印发《关于同意中科星图测控技术股份有限公司
股票定向发行的函》（股转函〔2023〕876 号）。本次股票发行股数为 7,500,000 股，
每股价格为人民币 6.30 元，募集资金总额为 47,250,000.00 元。
本次发行的具体情况如下：
序号 发行对象名称 认购数量（股） 认购金额（元） 认购方式
1 策星银河 2,790,000 17,577,000.00 现金
2 策星逐日 1,710,000 10,773,000.00 现金
3 幸福二期 3,000,000 18,900,000.00 现金
合计 7,500,000 47,250,000.00 -
2023 年 5 月 9 日，立信会计师出具《验资报告》（信会师报字[2023]第 ZG11482
号），经审验，截至 2023 年 5 月 8 日止，公司已定向发行人民币普通股 7,500,000 股，
每股发行价格 6.30 元，共募集资金人民币 47,250,000.00 元，扣除不含税发行费用人民
币 561,084.91 元，实际募集资金净额人民币 46,688,915.09 元，其中增加注册资本人民
币 7,500,000.00 元，增加资本公积 39,188,915.09 元。</x:v>
      </x:c>
      <x:c r="M39" s="161" t="str">
        <x:v>0cb6be811c0079df0cc0707d660fd133c85769ccdb0243083ccdd2921c0f500a</x:v>
      </x:c>
      <x:c r="N39" s="167" t="str">
        <x:v>["dated_fallback", "matched_term:股票定向发行", "matched_term:定向发行"]</x:v>
      </x:c>
    </x:row>
    <x:row r="40" ht="30" customHeight="1">
      <x:c r="A40" s="198" t="n">
        <x:v>920116</x:v>
      </x:c>
      <x:c r="B40" s="161" t="str">
        <x:v>星图测控</x:v>
      </x:c>
      <x:c r="C40" s="161" t="str">
        <x:v>EVD-920116-0001-04</x:v>
      </x:c>
      <x:c r="D40" s="161" t="str">
        <x:v>CE-920116-0001</x:v>
      </x:c>
      <x:c r="E40" s="161" t="str">
        <x:v>SUPPORTING</x:v>
      </x:c>
      <x:c r="F40" s="161" t="str">
        <x:v>DATED_FALLBACK</x:v>
      </x:c>
      <x:c r="G40" s="161" t="n">
        <x:v>35</x:v>
      </x:c>
      <x:c r="H40" s="161" t="n">
        <x:v>35</x:v>
      </x:c>
      <x:c r="I40" s="161" t="str">
        <x:v>1-1-35</x:v>
      </x:c>
      <x:c r="J40" s="161" t="str">
        <x:v>1-1-35</x:v>
      </x:c>
      <x:c r="K40" s="161" t="str">
        <x:v>[{"pdf_page": 35, "line_start": 8, "line_end": 28}]</x:v>
      </x:c>
      <x:c r="L40" s="161" t="str">
        <x:v>司 2023 年员工持股计划（草案）&gt;的议案》等相关议案。
2023 年 4 月 12 日，公司召开 2023 年第三次临时股东大会，审议通过了《关于&lt;中
科星图测控技术股份有限公司 2023 年第一次股票定向发行说明书&gt;的议案》《关于&lt;中
科星图测控技术股份有限公司 2023 年员工持股计划（草案）&gt;的议案》等相关议案。
2023 年 4 月 26 日，全国股转公司印发《关于同意中科星图测控技术股份有限公司
股票定向发行的函》（股转函〔2023〕876 号）。本次股票发行股数为 7,500,000 股，
每股价格为人民币 6.30 元，募集资金总额为 47,250,000.00 元。
本次发行的具体情况如下：
序号 发行对象名称 认购数量（股） 认购金额（元） 认购方式
1 策星银河 2,790,000 17,577,000.00 现金
2 策星逐日 1,710,000 10,773,000.00 现金
3 幸福二期 3,000,000 18,900,000.00 现金
合计 7,500,000 47,250,000.00 -
2023 年 5 月 9 日，立信会计师出具《验资报告》（信会师报字[2023]第 ZG11482
号），经审验，截至 2023 年 5 月 8 日止，公司已定向发行人民币普通股 7,500,000 股，
每股发行价格 6.30 元，共募集资金人民币 47,250,000.00 元，扣除不含税发行费用人民
币 561,084.91 元，实际募集资金净额人民币 46,688,915.09 元，其中增加注册资本人民
币 7,500,000.00 元，增加资本公积 39,188,915.09 元。
2023 年 5 月 16 日，公司在全国股转系统网站发布《股票定向发行新增股份在全国
股份转让系统挂牌并公开转让的公告》 ， 本次定向发行新增股份于2023 年 5 月 19 日起
在全国中小企业股份转让系统挂牌并公开转让。</x:v>
      </x:c>
      <x:c r="M40" s="161" t="str">
        <x:v>ed4ef4f181ff8f2f317c975165e088186105046ef33bec34e078f21ce842e64e</x:v>
      </x:c>
      <x:c r="N40" s="167" t="str">
        <x:v>["dated_fallback", "matched_term:股票定向发行", "matched_term:定向发行"]</x:v>
      </x:c>
    </x:row>
    <x:row r="41" ht="30" customHeight="1">
      <x:c r="A41" s="199" t="n">
        <x:v>920116</x:v>
      </x:c>
      <x:c r="B41" s="169" t="str">
        <x:v>星图测控</x:v>
      </x:c>
      <x:c r="C41" s="169" t="str">
        <x:v>EVD-920116-0001-05</x:v>
      </x:c>
      <x:c r="D41" s="169" t="str">
        <x:v>CE-920116-0001</x:v>
      </x:c>
      <x:c r="E41" s="169" t="str">
        <x:v>SUPPORTING</x:v>
      </x:c>
      <x:c r="F41" s="169" t="str">
        <x:v>DATED_FALLBACK</x:v>
      </x:c>
      <x:c r="G41" s="169" t="n">
        <x:v>35</x:v>
      </x:c>
      <x:c r="H41" s="169" t="n">
        <x:v>36</x:v>
      </x:c>
      <x:c r="I41" s="169" t="str">
        <x:v>1-1-35</x:v>
      </x:c>
      <x:c r="J41" s="169" t="str">
        <x:v>1-1-36</x:v>
      </x:c>
      <x:c r="K41" s="169" t="str">
        <x:v>[{"pdf_page": 35, "line_start": 20, "line_end": 28}, {"pdf_page": 36, "line_start": 0, "line_end": 11}]</x:v>
      </x:c>
      <x:c r="L41" s="169" t="str">
        <x:v>合计 7,500,000 47,250,000.00 -
2023 年 5 月 9 日，立信会计师出具《验资报告》（信会师报字[2023]第 ZG11482
号），经审验，截至 2023 年 5 月 8 日止，公司已定向发行人民币普通股 7,500,000 股，
每股发行价格 6.30 元，共募集资金人民币 47,250,000.00 元，扣除不含税发行费用人民
币 561,084.91 元，实际募集资金净额人民币 46,688,915.09 元，其中增加注册资本人民
币 7,500,000.00 元，增加资本公积 39,188,915.09 元。
2023 年 5 月 16 日，公司在全国股转系统网站发布《股票定向发行新增股份在全国
股份转让系统挂牌并公开转让的公告》 ， 本次定向发行新增股份于2023 年 5 月 19 日起
在全国中小企业股份转让系统挂牌并公开转让。
1-1-36
（九） 报告期内重大资产重组情况
报告期内，公司未发生重大资产重组。
（十） 报告期内控制权变动情况
报告期内，公司控股股东、实际控制人未发生变动。
（十一） 报告期内股利分配情况
报告期内，公司未进行过股利分配。
三、 发行人的股权结构
截至报告期末，公司的股权结构如下：
四、 发行人股东及实际控制人情况
（一） 控股股东、实际控制人情况
1、控股股东</x:v>
      </x:c>
      <x:c r="M41" s="169" t="str">
        <x:v>3f4e414b9c4078ef6c95bf7abd233eec75a93d10c1347fd78d67aa0612cf25a0</x:v>
      </x:c>
      <x:c r="N41" s="170" t="str">
        <x:v>["dated_fallback", "matched_term:定向发行"]</x:v>
      </x:c>
    </x:row>
  </x:sheetData>
  <x:pageMargins left="0.7" right="0.7" top="0.75" bottom="0.75" header="0.3" footer="0.3"/>
  <x:tableParts count="1">
    <x:tablePart xmlns:r="http://schemas.openxmlformats.org/officeDocument/2006/relationships" r:id="R2a596900d8be4db8"/>
  </x:tableParts>
</x:worksheet>
</file>

<file path=xl/worksheets/sheet11.xml><?xml version="1.0" encoding="utf-8"?>
<x:worksheet xmlns:x="http://schemas.openxmlformats.org/spreadsheetml/2006/main">
  <x:sheetFormatPr defaultRowHeight="15"/>
  <x:cols>
    <x:col min="1" max="1" width="18" hidden="0" customWidth="1"/>
    <x:col min="2" max="2" width="38" hidden="0" customWidth="1"/>
    <x:col min="3" max="3" width="80" hidden="0" customWidth="1"/>
  </x:cols>
  <x:sheetData>
    <x:row r="1">
      <x:c r="A1" s="103" t="str">
        <x:v>类别</x:v>
      </x:c>
      <x:c r="B1" s="104" t="str">
        <x:v>字段/状态</x:v>
      </x:c>
      <x:c r="C1" s="105" t="str">
        <x:v>说明</x:v>
      </x:c>
    </x:row>
    <x:row r="2" ht="30" customHeight="1">
      <x:c r="A2" s="163" t="str">
        <x:v>状态</x:v>
      </x:c>
      <x:c r="B2" s="164" t="str">
        <x:v>FINAL_JSON_READY</x:v>
      </x:c>
      <x:c r="C2" s="165" t="str">
        <x:v>最终JSON数据、证据和验证结果已汇总；Excel与提交包由本次交付生成。</x:v>
      </x:c>
    </x:row>
    <x:row r="3" ht="30" customHeight="1">
      <x:c r="A3" s="166" t="str">
        <x:v>值类型</x:v>
      </x:c>
      <x:c r="B3" s="161" t="str">
        <x:v>DISCLOSED</x:v>
      </x:c>
      <x:c r="C3" s="167" t="str">
        <x:v>招股说明书原文披露值。</x:v>
      </x:c>
    </x:row>
    <x:row r="4" ht="30" customHeight="1">
      <x:c r="A4" s="166" t="str">
        <x:v>值类型</x:v>
      </x:c>
      <x:c r="B4" s="161" t="str">
        <x:v>CALCULATED</x:v>
      </x:c>
      <x:c r="C4" s="167" t="str">
        <x:v>由披露输入值按明确公式计算的值。</x:v>
      </x:c>
    </x:row>
    <x:row r="5" ht="30" customHeight="1">
      <x:c r="A5" s="166" t="str">
        <x:v>校验状态</x:v>
      </x:c>
      <x:c r="B5" s="161" t="str">
        <x:v>PASSED</x:v>
      </x:c>
      <x:c r="C5" s="167" t="str">
        <x:v>校验通过。</x:v>
      </x:c>
    </x:row>
    <x:row r="6" ht="30" customHeight="1">
      <x:c r="A6" s="166" t="str">
        <x:v>校验状态</x:v>
      </x:c>
      <x:c r="B6" s="161" t="str">
        <x:v>NOT_APPLICABLE</x:v>
      </x:c>
      <x:c r="C6" s="167" t="str">
        <x:v>原文缺少完整输入，未执行计算，不推断。</x:v>
      </x:c>
    </x:row>
    <x:row r="7" ht="30" customHeight="1">
      <x:c r="A7" s="166" t="str">
        <x:v>校验状态</x:v>
      </x:c>
      <x:c r="B7" s="161" t="str">
        <x:v>INFORMATIONAL</x:v>
      </x:c>
      <x:c r="C7" s="167" t="str">
        <x:v>信息提示，不进入人工复核。</x:v>
      </x:c>
    </x:row>
    <x:row r="8" ht="30" customHeight="1">
      <x:c r="A8" s="166" t="str">
        <x:v>PE/VC</x:v>
      </x:c>
      <x:c r="B8" s="161" t="str">
        <x:v>PEVC_CANDIDATE</x:v>
      </x:c>
      <x:c r="C8" s="167" t="str">
        <x:v>名称和证据支持的PE/VC候选主体；本次最终结论为金浦临港基金、金浦科创基金。</x:v>
      </x:c>
    </x:row>
    <x:row r="9" ht="30" customHeight="1">
      <x:c r="A9" s="166" t="str">
        <x:v>投资路径</x:v>
      </x:c>
      <x:c r="B9" s="161" t="str">
        <x:v>CAPITAL_INCREASE_ENTRY</x:v>
      </x:c>
      <x:c r="C9" s="167" t="str">
        <x:v>通过发行人增资直接进入。</x:v>
      </x:c>
    </x:row>
    <x:row r="10" ht="30" customHeight="1">
      <x:c r="A10" s="166" t="str">
        <x:v>投资层级</x:v>
      </x:c>
      <x:c r="B10" s="161" t="str">
        <x:v>ISSUER_LEVEL / DIRECT</x:v>
      </x:c>
      <x:c r="C10" s="167" t="str">
        <x:v>发行人层面的直接投资。</x:v>
      </x:c>
    </x:row>
    <x:row r="11" ht="30" customHeight="1">
      <x:c r="A11" s="166" t="str">
        <x:v>快照</x:v>
      </x:c>
      <x:c r="B11" s="161" t="str">
        <x:v>PARTY_RATIO_LINKAGE_NOT_CONFIRMED</x:v>
      </x:c>
      <x:c r="C11" s="167" t="str">
        <x:v>存在比例事实，但未建立股东与比例的可靠逐行对应，不强行形成快照。</x:v>
      </x:c>
    </x:row>
    <x:row r="12" ht="30" customHeight="1">
      <x:c r="A12" s="166" t="str">
        <x:v>复核</x:v>
      </x:c>
      <x:c r="B12" s="161" t="str">
        <x:v>RESOLVED_AI_REVIEW</x:v>
      </x:c>
      <x:c r="C12" s="167" t="str">
        <x:v>候选冻结阶段已作AI辅助证据判断；不等同于人工Gold签字。</x:v>
      </x:c>
    </x:row>
    <x:row r="13" ht="30" customHeight="1">
      <x:c r="A13" s="166" t="str">
        <x:v>复核</x:v>
      </x:c>
      <x:c r="B13" s="161" t="str">
        <x:v>ACCEPTED_DISCLOSURE_LIMITATION</x:v>
      </x:c>
      <x:c r="C13" s="167" t="str">
        <x:v>招股书未逐项披露，按披露限制接受。</x:v>
      </x:c>
    </x:row>
    <x:row r="14" ht="30" customHeight="1">
      <x:c r="A14" s="166" t="str">
        <x:v>复核</x:v>
      </x:c>
      <x:c r="B14" s="161" t="str">
        <x:v>OPEN</x:v>
      </x:c>
      <x:c r="C14" s="167" t="str">
        <x:v>仍需人工确认或保持未决的记录。</x:v>
      </x:c>
    </x:row>
    <x:row r="15" ht="30" customHeight="1">
      <x:c r="A15" s="168" t="str">
        <x:v>证据</x:v>
      </x:c>
      <x:c r="B15" s="169" t="str">
        <x:v>PDF页码/正文页码</x:v>
      </x:c>
      <x:c r="C15" s="170" t="str">
        <x:v>PDF物理页与招股书正文页分别保留。</x:v>
      </x:c>
    </x:row>
  </x:sheetData>
  <x:pageMargins left="0.7" right="0.7" top="0.75" bottom="0.75" header="0.3" footer="0.3"/>
  <x:tableParts count="1">
    <x:tablePart xmlns:r="http://schemas.openxmlformats.org/officeDocument/2006/relationships" r:id="R234928f3bf8548d7"/>
  </x:tableParts>
</x:worksheet>
</file>